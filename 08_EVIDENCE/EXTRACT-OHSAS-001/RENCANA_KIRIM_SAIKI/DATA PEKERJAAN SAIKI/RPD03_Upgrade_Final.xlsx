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806" firstSheet="0" activeTab="0" autoFilterDateGrouping="1"/>
  </bookViews>
  <sheets>
    <sheet xmlns:r="http://schemas.openxmlformats.org/officeDocument/2006/relationships" name="Phisical Check" sheetId="1" state="visible" r:id="rId1"/>
    <sheet xmlns:r="http://schemas.openxmlformats.org/officeDocument/2006/relationships" name="RPD03" sheetId="2" state="visible" r:id="rId2"/>
    <sheet xmlns:r="http://schemas.openxmlformats.org/officeDocument/2006/relationships" name="03A-1" sheetId="3" state="visible" r:id="rId3"/>
    <sheet xmlns:r="http://schemas.openxmlformats.org/officeDocument/2006/relationships" name="03A-2" sheetId="4" state="visible" r:id="rId4"/>
    <sheet xmlns:r="http://schemas.openxmlformats.org/officeDocument/2006/relationships" name="03A-3" sheetId="5" state="visible" r:id="rId5"/>
    <sheet xmlns:r="http://schemas.openxmlformats.org/officeDocument/2006/relationships" name="03A-4" sheetId="6" state="visible" r:id="rId6"/>
    <sheet xmlns:r="http://schemas.openxmlformats.org/officeDocument/2006/relationships" name="03A-5" sheetId="7" state="visible" r:id="rId7"/>
    <sheet xmlns:r="http://schemas.openxmlformats.org/officeDocument/2006/relationships" name="03A-6" sheetId="8" state="visible" r:id="rId8"/>
    <sheet xmlns:r="http://schemas.openxmlformats.org/officeDocument/2006/relationships" name="kurva S" sheetId="9" state="visible" r:id="rId9"/>
    <sheet xmlns:r="http://schemas.openxmlformats.org/officeDocument/2006/relationships" name="AHSP Resmi" sheetId="10" state="visible" r:id="rId10"/>
    <sheet xmlns:r="http://schemas.openxmlformats.org/officeDocument/2006/relationships" name="TKDN &amp; Pajak" sheetId="11" state="visible" r:id="rId11"/>
    <sheet xmlns:r="http://schemas.openxmlformats.org/officeDocument/2006/relationships" name="Mobilisasi" sheetId="12" state="visible" r:id="rId12"/>
  </sheets>
  <externalReferences>
    <externalReference xmlns:r="http://schemas.openxmlformats.org/officeDocument/2006/relationships" r:id="rId13"/>
    <externalReference xmlns:r="http://schemas.openxmlformats.org/officeDocument/2006/relationships" r:id="rId14"/>
  </externalReferences>
  <definedNames>
    <definedName name="_xlnm.Print_Area" localSheetId="1">'RPD03'!$A$1:$M$37</definedName>
    <definedName name="_xlnm.Print_Area" localSheetId="2">'03A-1'!$A$1:$M$34</definedName>
    <definedName name="_xlnm.Print_Area" localSheetId="3">'03A-2'!$A$1:$M$33</definedName>
    <definedName name="_xlnm.Print_Titles" localSheetId="4">'03A-3'!$1:$13</definedName>
    <definedName name="_xlnm.Print_Area" localSheetId="4">'03A-3'!$A$1:$M$31</definedName>
    <definedName name="_xlnm.Print_Titles" localSheetId="5">'03A-4'!$1:$13</definedName>
    <definedName name="_xlnm.Print_Area" localSheetId="5">'03A-4'!$A$1:$M$40</definedName>
    <definedName name="_xlnm.Print_Titles" localSheetId="6">'03A-5'!$1:$13</definedName>
    <definedName name="_xlnm.Print_Area" localSheetId="6">'03A-5'!$A$1:$M$29</definedName>
    <definedName name="_xlnm.Print_Titles" localSheetId="7">'03A-6'!$1:$13</definedName>
    <definedName name="_xlnm.Print_Area" localSheetId="7">'03A-6'!$A$1:$M$29</definedName>
  </definedNames>
  <calcPr calcId="191028" fullCalcOnLoad="1"/>
</workbook>
</file>

<file path=xl/styles.xml><?xml version="1.0" encoding="utf-8"?>
<styleSheet xmlns="http://schemas.openxmlformats.org/spreadsheetml/2006/main">
  <numFmts count="14">
    <numFmt numFmtId="164" formatCode="_(* #,##0.0_);_(* \(#,##0.0\);_(* &quot;-&quot;??_);_(@_)"/>
    <numFmt numFmtId="165" formatCode="_(* #,##0.00_);_(* \(#,##0.00\);_(* &quot;-&quot;_);_(@_)"/>
    <numFmt numFmtId="166" formatCode="#,##0.00;[Red]#,##0.00"/>
    <numFmt numFmtId="167" formatCode="0.00;\-0.00;\-;@"/>
    <numFmt numFmtId="168" formatCode="_(* #,##0.000_);_(* \(#,##0.000\);_(* &quot;-&quot;???_);_(@_)"/>
    <numFmt numFmtId="169" formatCode="\ @"/>
    <numFmt numFmtId="170" formatCode="_-* #,##0_-;\-* #,##0_-;_-* &quot;-&quot;_-;_-@_-"/>
    <numFmt numFmtId="171" formatCode="#,##0.000"/>
    <numFmt numFmtId="172" formatCode="0.000;\-0.000;\-;@"/>
    <numFmt numFmtId="173" formatCode="0.00_)"/>
    <numFmt numFmtId="174" formatCode="_-* #,##0.00_-;\-* #,##0.00_-;_-* &quot;-&quot;_-;_-@_-"/>
    <numFmt numFmtId="175" formatCode="_-* #,##0.00_-;\-* #,##0.00_-;_-* &quot;-&quot;??_-;_-@_-"/>
    <numFmt numFmtId="176" formatCode="0.0"/>
    <numFmt numFmtId="177" formatCode="0.000"/>
  </numFmts>
  <fonts count="46">
    <font>
      <name val="Calibri"/>
      <family val="2"/>
      <color theme="1"/>
      <sz val="11"/>
      <scheme val="minor"/>
    </font>
    <font>
      <name val="Arial"/>
      <family val="2"/>
      <sz val="12"/>
    </font>
    <font>
      <name val="Arial"/>
      <family val="2"/>
      <b val="1"/>
      <sz val="12"/>
    </font>
    <font>
      <name val="Arial"/>
      <family val="2"/>
      <sz val="10"/>
    </font>
    <font>
      <name val="Arial"/>
      <family val="2"/>
      <b val="1"/>
      <sz val="10"/>
    </font>
    <font>
      <name val="Times New Roman"/>
      <family val="1"/>
      <color indexed="8"/>
      <sz val="9"/>
    </font>
    <font>
      <name val="Arial"/>
      <family val="2"/>
      <color indexed="8"/>
      <sz val="11"/>
    </font>
    <font>
      <name val="Arial"/>
      <family val="2"/>
      <b val="1"/>
      <color indexed="8"/>
      <sz val="11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b val="1"/>
      <sz val="14"/>
    </font>
    <font>
      <name val="Times New Roman"/>
      <family val="1"/>
      <sz val="10"/>
    </font>
    <font>
      <name val="Arial"/>
      <family val="2"/>
      <color indexed="12"/>
      <sz val="11"/>
    </font>
    <font>
      <name val="Arial"/>
      <family val="2"/>
      <b val="1"/>
      <sz val="18"/>
    </font>
    <font>
      <name val="Arial"/>
      <family val="2"/>
      <b val="1"/>
      <color indexed="8"/>
      <sz val="11"/>
      <u val="single"/>
    </font>
    <font>
      <name val="Arial"/>
      <family val="2"/>
      <sz val="9"/>
    </font>
    <font>
      <name val="Calibri"/>
      <family val="2"/>
      <sz val="8"/>
    </font>
    <font>
      <name val="Arial"/>
      <family val="2"/>
      <b val="1"/>
      <color indexed="8"/>
      <sz val="10"/>
    </font>
    <font>
      <name val="Arial"/>
      <family val="2"/>
      <b val="1"/>
      <sz val="18"/>
      <u val="single"/>
    </font>
    <font>
      <name val="Arial"/>
      <family val="2"/>
      <sz val="16"/>
    </font>
    <font>
      <name val="Arial"/>
      <family val="2"/>
      <b val="1"/>
      <sz val="16"/>
    </font>
    <font>
      <name val="Arial"/>
      <family val="2"/>
      <b val="1"/>
      <sz val="16"/>
      <u val="single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Arial"/>
      <family val="2"/>
      <color theme="0"/>
      <sz val="11"/>
    </font>
    <font>
      <name val="Arial"/>
      <family val="2"/>
      <b val="1"/>
      <color theme="0"/>
      <sz val="10"/>
    </font>
    <font>
      <name val="Arial"/>
      <family val="2"/>
      <color theme="0"/>
      <sz val="10"/>
    </font>
    <font>
      <name val="Aptos Narrow"/>
      <family val="2"/>
      <color theme="1"/>
      <sz val="11"/>
    </font>
    <font>
      <name val="Arial"/>
      <family val="2"/>
      <color rgb="FF000000"/>
      <sz val="10"/>
    </font>
    <font>
      <name val="Arial"/>
      <family val="2"/>
      <color rgb="FF000000"/>
      <sz val="11"/>
    </font>
    <font>
      <name val="Calibri"/>
      <family val="2"/>
      <color rgb="FF000000"/>
      <sz val="11"/>
    </font>
    <font>
      <name val="Arial"/>
      <family val="2"/>
      <b val="1"/>
      <color rgb="FF000000"/>
      <sz val="22"/>
      <u val="single"/>
    </font>
    <font>
      <name val="Arial"/>
      <family val="2"/>
      <color rgb="FF000000"/>
      <sz val="12"/>
    </font>
    <font>
      <name val="Arial"/>
      <family val="2"/>
      <b val="1"/>
      <color rgb="FF000000"/>
      <sz val="16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14"/>
    </font>
    <font>
      <name val="Arial"/>
      <family val="2"/>
      <color rgb="FFFF0000"/>
      <sz val="12"/>
    </font>
    <font>
      <name val="Arial"/>
      <family val="2"/>
      <color rgb="FFFF0000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FF0000"/>
      <sz val="11"/>
    </font>
    <font>
      <name val="Arial"/>
      <family val="2"/>
      <color rgb="FFFFFFFF"/>
      <sz val="11"/>
    </font>
    <font>
      <name val="Arial"/>
      <family val="2"/>
      <color rgb="FF000000"/>
      <sz val="16"/>
    </font>
    <font>
      <name val="Arial"/>
      <family val="2"/>
      <color rgb="FF000000"/>
      <sz val="16"/>
      <u val="single"/>
    </font>
    <font>
      <name val="Arial"/>
      <family val="2"/>
      <b val="1"/>
      <color rgb="FF000000"/>
      <sz val="16"/>
      <u val="single"/>
    </font>
    <font>
      <name val="Arial"/>
      <family val="2"/>
      <color rgb="FF000000"/>
      <sz val="11"/>
      <u val="single"/>
    </font>
    <font>
      <name val="Arial"/>
      <family val="2"/>
      <b val="1"/>
      <color rgb="FF000000"/>
      <sz val="12"/>
    </font>
  </fonts>
  <fills count="5">
    <fill>
      <patternFill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FFF99"/>
        <bgColor rgb="00FFFF99"/>
      </patternFill>
    </fill>
  </fills>
  <borders count="7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0">
    <xf numFmtId="0" fontId="22" fillId="0" borderId="0"/>
    <xf numFmtId="41" fontId="23" fillId="0" borderId="0"/>
    <xf numFmtId="41" fontId="3" fillId="0" borderId="0"/>
    <xf numFmtId="41" fontId="3" fillId="0" borderId="0"/>
    <xf numFmtId="41" fontId="3" fillId="0" borderId="0"/>
    <xf numFmtId="41" fontId="22" fillId="0" borderId="0"/>
    <xf numFmtId="43" fontId="5" fillId="0" borderId="0"/>
    <xf numFmtId="43" fontId="3" fillId="0" borderId="0"/>
    <xf numFmtId="43" fontId="3" fillId="0" borderId="0"/>
    <xf numFmtId="43" fontId="22" fillId="0" borderId="0"/>
    <xf numFmtId="43" fontId="22" fillId="0" borderId="0"/>
    <xf numFmtId="43" fontId="22" fillId="0" borderId="0"/>
    <xf numFmtId="41" fontId="22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22" fillId="0" borderId="0"/>
    <xf numFmtId="0" fontId="3" fillId="0" borderId="0"/>
    <xf numFmtId="0" fontId="22" fillId="0" borderId="0"/>
    <xf numFmtId="0" fontId="22" fillId="0" borderId="0"/>
    <xf numFmtId="0" fontId="1" fillId="0" borderId="0"/>
    <xf numFmtId="0" fontId="11" fillId="0" borderId="0"/>
    <xf numFmtId="0" fontId="30" fillId="0" borderId="0"/>
    <xf numFmtId="9" fontId="22" fillId="0" borderId="0"/>
  </cellStyleXfs>
  <cellXfs count="754">
    <xf numFmtId="0" fontId="0" fillId="0" borderId="0" pivotButton="0" quotePrefix="0" xfId="0"/>
    <xf numFmtId="41" fontId="3" fillId="0" borderId="1" applyAlignment="1" pivotButton="0" quotePrefix="0" xfId="2">
      <alignment horizontal="right" vertical="center" wrapText="1" shrinkToFit="1"/>
    </xf>
    <xf numFmtId="0" fontId="9" fillId="0" borderId="0" pivotButton="0" quotePrefix="0" xfId="13"/>
    <xf numFmtId="0" fontId="8" fillId="0" borderId="0" pivotButton="0" quotePrefix="0" xfId="13"/>
    <xf numFmtId="164" fontId="3" fillId="0" borderId="0" applyAlignment="1" pivotButton="0" quotePrefix="0" xfId="2">
      <alignment horizontal="center"/>
    </xf>
    <xf numFmtId="0" fontId="3" fillId="0" borderId="0" pivotButton="0" quotePrefix="0" xfId="13"/>
    <xf numFmtId="0" fontId="4" fillId="0" borderId="0" applyAlignment="1" pivotButton="0" quotePrefix="0" xfId="13">
      <alignment horizontal="center" vertical="center"/>
    </xf>
    <xf numFmtId="0" fontId="3" fillId="0" borderId="0" applyAlignment="1" pivotButton="0" quotePrefix="0" xfId="13">
      <alignment horizontal="right"/>
    </xf>
    <xf numFmtId="0" fontId="3" fillId="0" borderId="0" applyAlignment="1" pivotButton="0" quotePrefix="0" xfId="13">
      <alignment horizontal="left"/>
    </xf>
    <xf numFmtId="164" fontId="3" fillId="0" borderId="0" applyAlignment="1" pivotButton="0" quotePrefix="0" xfId="2">
      <alignment horizontal="center"/>
    </xf>
    <xf numFmtId="0" fontId="3" fillId="0" borderId="0" applyAlignment="1" pivotButton="0" quotePrefix="0" xfId="13">
      <alignment horizontal="center"/>
    </xf>
    <xf numFmtId="41" fontId="3" fillId="0" borderId="0" pivotButton="0" quotePrefix="0" xfId="13"/>
    <xf numFmtId="165" fontId="9" fillId="0" borderId="0" applyAlignment="1" pivotButton="0" quotePrefix="0" xfId="12">
      <alignment vertical="center"/>
    </xf>
    <xf numFmtId="0" fontId="7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4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4" fontId="6" fillId="0" borderId="0" applyAlignment="1" pivotButton="0" quotePrefix="0" xfId="0">
      <alignment horizontal="left" vertical="center"/>
    </xf>
    <xf numFmtId="4" fontId="7" fillId="0" borderId="0" applyAlignment="1" pivotButton="0" quotePrefix="0" xfId="0">
      <alignment horizontal="left" vertical="center"/>
    </xf>
    <xf numFmtId="4" fontId="7" fillId="0" borderId="0" applyAlignment="1" pivotButton="0" quotePrefix="0" xfId="0">
      <alignment vertical="center"/>
    </xf>
    <xf numFmtId="0" fontId="8" fillId="0" borderId="0" applyAlignment="1" pivotButton="0" quotePrefix="0" xfId="27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4" fillId="0" borderId="0" applyAlignment="1" pivotButton="0" quotePrefix="0" xfId="27">
      <alignment vertical="center"/>
    </xf>
    <xf numFmtId="0" fontId="4" fillId="0" borderId="0" applyAlignment="1" pivotButton="0" quotePrefix="0" xfId="27">
      <alignment horizontal="left" vertical="center"/>
    </xf>
    <xf numFmtId="0" fontId="4" fillId="0" borderId="0" applyAlignment="1" pivotButton="0" quotePrefix="0" xfId="27">
      <alignment vertical="center"/>
    </xf>
    <xf numFmtId="0" fontId="9" fillId="0" borderId="0" applyAlignment="1" pivotButton="0" quotePrefix="0" xfId="27">
      <alignment vertical="center"/>
    </xf>
    <xf numFmtId="0" fontId="9" fillId="0" borderId="0" applyAlignment="1" pivotButton="0" quotePrefix="0" xfId="27">
      <alignment vertical="center"/>
    </xf>
    <xf numFmtId="164" fontId="8" fillId="0" borderId="0" applyAlignment="1" pivotButton="0" quotePrefix="0" xfId="2">
      <alignment horizontal="center"/>
    </xf>
    <xf numFmtId="164" fontId="9" fillId="0" borderId="0" applyAlignment="1" pivotButton="0" quotePrefix="0" xfId="2">
      <alignment horizontal="center"/>
    </xf>
    <xf numFmtId="166" fontId="8" fillId="0" borderId="2" applyAlignment="1" pivotButton="0" quotePrefix="0" xfId="13">
      <alignment horizontal="center"/>
    </xf>
    <xf numFmtId="167" fontId="8" fillId="0" borderId="2" applyAlignment="1" pivotButton="0" quotePrefix="0" xfId="5">
      <alignment horizontal="center" vertical="center" shrinkToFit="1"/>
    </xf>
    <xf numFmtId="168" fontId="9" fillId="0" borderId="0" pivotButton="0" quotePrefix="0" xfId="13"/>
    <xf numFmtId="164" fontId="4" fillId="0" borderId="0" applyAlignment="1" pivotButton="0" quotePrefix="0" xfId="2">
      <alignment horizontal="center"/>
    </xf>
    <xf numFmtId="41" fontId="3" fillId="0" borderId="3" pivotButton="0" quotePrefix="0" xfId="2"/>
    <xf numFmtId="166" fontId="3" fillId="0" borderId="4" pivotButton="0" quotePrefix="0" xfId="0"/>
    <xf numFmtId="41" fontId="4" fillId="0" borderId="3" applyAlignment="1" pivotButton="0" quotePrefix="0" xfId="2">
      <alignment horizontal="left" vertical="center"/>
    </xf>
    <xf numFmtId="2" fontId="8" fillId="0" borderId="2" applyAlignment="1" pivotButton="0" quotePrefix="0" xfId="12">
      <alignment horizontal="center" vertical="center"/>
    </xf>
    <xf numFmtId="164" fontId="4" fillId="0" borderId="0" applyAlignment="1" pivotButton="0" quotePrefix="0" xfId="2">
      <alignment horizontal="left"/>
    </xf>
    <xf numFmtId="41" fontId="3" fillId="0" borderId="5" applyAlignment="1" pivotButton="0" quotePrefix="0" xfId="2">
      <alignment horizontal="right" shrinkToFit="1"/>
    </xf>
    <xf numFmtId="164" fontId="4" fillId="0" borderId="0" pivotButton="0" quotePrefix="0" xfId="2"/>
    <xf numFmtId="41" fontId="3" fillId="0" borderId="6" applyAlignment="1" pivotButton="0" quotePrefix="0" xfId="2">
      <alignment horizontal="right" shrinkToFit="1"/>
    </xf>
    <xf numFmtId="167" fontId="9" fillId="0" borderId="7" applyAlignment="1" pivotButton="0" quotePrefix="0" xfId="12">
      <alignment horizontal="center" vertical="center"/>
    </xf>
    <xf numFmtId="168" fontId="24" fillId="0" borderId="0" pivotButton="0" quotePrefix="0" xfId="13"/>
    <xf numFmtId="0" fontId="24" fillId="0" borderId="0" pivotButton="0" quotePrefix="0" xfId="13"/>
    <xf numFmtId="164" fontId="25" fillId="0" borderId="0" pivotButton="0" quotePrefix="0" xfId="2"/>
    <xf numFmtId="164" fontId="25" fillId="0" borderId="0" applyAlignment="1" pivotButton="0" quotePrefix="0" xfId="2">
      <alignment horizontal="left"/>
    </xf>
    <xf numFmtId="0" fontId="25" fillId="0" borderId="0" applyAlignment="1" pivotButton="0" quotePrefix="0" xfId="13">
      <alignment horizontal="center" vertical="center"/>
    </xf>
    <xf numFmtId="0" fontId="26" fillId="0" borderId="0" pivotButton="0" quotePrefix="0" xfId="13"/>
    <xf numFmtId="167" fontId="8" fillId="0" borderId="0" applyAlignment="1" pivotButton="0" quotePrefix="0" xfId="5">
      <alignment horizontal="center" vertical="center" shrinkToFit="1"/>
    </xf>
    <xf numFmtId="0" fontId="8" fillId="0" borderId="0" applyAlignment="1" pivotButton="0" quotePrefix="0" xfId="0">
      <alignment vertical="center"/>
    </xf>
    <xf numFmtId="0" fontId="24" fillId="0" borderId="0" applyAlignment="1" pivotButton="0" quotePrefix="0" xfId="27">
      <alignment horizontal="right" vertical="center" wrapText="1"/>
    </xf>
    <xf numFmtId="0" fontId="24" fillId="0" borderId="0" applyAlignment="1" pivotButton="0" quotePrefix="0" xfId="27">
      <alignment vertical="center"/>
    </xf>
    <xf numFmtId="0" fontId="13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27">
      <alignment horizontal="center" vertical="center"/>
    </xf>
    <xf numFmtId="0" fontId="8" fillId="0" borderId="0" pivotButton="0" quotePrefix="1" xfId="0"/>
    <xf numFmtId="165" fontId="8" fillId="0" borderId="0" applyAlignment="1" pivotButton="0" quotePrefix="0" xfId="12">
      <alignment vertical="center"/>
    </xf>
    <xf numFmtId="169" fontId="8" fillId="0" borderId="8" applyAlignment="1" pivotButton="0" quotePrefix="0" xfId="12">
      <alignment vertical="center"/>
    </xf>
    <xf numFmtId="0" fontId="8" fillId="0" borderId="8" applyAlignment="1" pivotButton="0" quotePrefix="0" xfId="27">
      <alignment vertical="center"/>
    </xf>
    <xf numFmtId="0" fontId="8" fillId="0" borderId="8" applyAlignment="1" pivotButton="0" quotePrefix="0" xfId="27">
      <alignment horizontal="center" vertical="center"/>
    </xf>
    <xf numFmtId="169" fontId="8" fillId="0" borderId="8" applyAlignment="1" pivotButton="0" quotePrefix="1" xfId="12">
      <alignment horizontal="left" vertical="center"/>
    </xf>
    <xf numFmtId="165" fontId="8" fillId="0" borderId="8" applyAlignment="1" pivotButton="0" quotePrefix="0" xfId="12">
      <alignment horizontal="right" vertical="center"/>
    </xf>
    <xf numFmtId="165" fontId="26" fillId="0" borderId="8" applyAlignment="1" pivotButton="0" quotePrefix="0" xfId="12">
      <alignment vertical="center"/>
    </xf>
    <xf numFmtId="0" fontId="8" fillId="0" borderId="9" applyAlignment="1" pivotButton="0" quotePrefix="0" xfId="27">
      <alignment horizontal="center" vertical="center"/>
    </xf>
    <xf numFmtId="0" fontId="9" fillId="0" borderId="0" pivotButton="0" quotePrefix="0" xfId="27"/>
    <xf numFmtId="170" fontId="8" fillId="0" borderId="10" applyAlignment="1" pivotButton="0" quotePrefix="0" xfId="12">
      <alignment vertical="center"/>
    </xf>
    <xf numFmtId="170" fontId="8" fillId="0" borderId="0" applyAlignment="1" pivotButton="0" quotePrefix="0" xfId="12">
      <alignment vertical="center"/>
    </xf>
    <xf numFmtId="165" fontId="9" fillId="0" borderId="0" applyAlignment="1" pivotButton="0" quotePrefix="0" xfId="12">
      <alignment horizontal="right" vertical="center"/>
    </xf>
    <xf numFmtId="165" fontId="9" fillId="0" borderId="11" applyAlignment="1" pivotButton="0" quotePrefix="0" xfId="12">
      <alignment horizontal="right" vertical="center"/>
    </xf>
    <xf numFmtId="165" fontId="9" fillId="0" borderId="11" applyAlignment="1" pivotButton="0" quotePrefix="0" xfId="12">
      <alignment horizontal="right"/>
    </xf>
    <xf numFmtId="165" fontId="9" fillId="0" borderId="9" applyAlignment="1" pivotButton="0" quotePrefix="0" xfId="12">
      <alignment horizontal="right"/>
    </xf>
    <xf numFmtId="0" fontId="24" fillId="0" borderId="0" applyAlignment="1" pivotButton="0" quotePrefix="0" xfId="27">
      <alignment horizontal="center"/>
    </xf>
    <xf numFmtId="0" fontId="9" fillId="0" borderId="0" applyAlignment="1" pivotButton="0" quotePrefix="0" xfId="27">
      <alignment horizontal="center"/>
    </xf>
    <xf numFmtId="0" fontId="8" fillId="0" borderId="12" applyAlignment="1" pivotButton="0" quotePrefix="0" xfId="27">
      <alignment horizontal="center" vertical="center"/>
    </xf>
    <xf numFmtId="2" fontId="24" fillId="0" borderId="0" applyAlignment="1" pivotButton="0" quotePrefix="0" xfId="27">
      <alignment vertical="center"/>
    </xf>
    <xf numFmtId="0" fontId="8" fillId="0" borderId="12" applyAlignment="1" pivotButton="0" quotePrefix="1" xfId="27">
      <alignment horizontal="center" vertical="center"/>
    </xf>
    <xf numFmtId="0" fontId="12" fillId="0" borderId="0" applyAlignment="1" pivotButton="0" quotePrefix="0" xfId="27">
      <alignment horizontal="right" vertical="center" wrapText="1"/>
    </xf>
    <xf numFmtId="2" fontId="8" fillId="0" borderId="13" applyAlignment="1" pivotButton="0" quotePrefix="0" xfId="12">
      <alignment horizontal="center" vertical="center"/>
    </xf>
    <xf numFmtId="2" fontId="9" fillId="0" borderId="13" applyAlignment="1" pivotButton="0" quotePrefix="0" xfId="12">
      <alignment horizontal="center" vertical="center"/>
    </xf>
    <xf numFmtId="39" fontId="24" fillId="0" borderId="0" applyAlignment="1" pivotButton="0" quotePrefix="0" xfId="27">
      <alignment horizontal="right" vertical="center" wrapText="1"/>
    </xf>
    <xf numFmtId="0" fontId="8" fillId="0" borderId="0" pivotButton="0" quotePrefix="0" xfId="12"/>
    <xf numFmtId="39" fontId="12" fillId="0" borderId="0" applyAlignment="1" pivotButton="0" quotePrefix="0" xfId="27">
      <alignment horizontal="right" vertical="center" wrapText="1"/>
    </xf>
    <xf numFmtId="0" fontId="9" fillId="0" borderId="0" applyAlignment="1" pivotButton="0" quotePrefix="0" xfId="27">
      <alignment horizontal="left" vertical="center"/>
    </xf>
    <xf numFmtId="165" fontId="8" fillId="0" borderId="0" applyAlignment="1" pivotButton="0" quotePrefix="0" xfId="12">
      <alignment vertical="center"/>
    </xf>
    <xf numFmtId="170" fontId="9" fillId="0" borderId="0" applyAlignment="1" pivotButton="0" quotePrefix="0" xfId="12">
      <alignment horizontal="left"/>
    </xf>
    <xf numFmtId="0" fontId="3" fillId="0" borderId="0" applyAlignment="1" pivotButton="0" quotePrefix="0" xfId="13">
      <alignment horizontal="right"/>
    </xf>
    <xf numFmtId="0" fontId="3" fillId="0" borderId="0" pivotButton="0" quotePrefix="0" xfId="13"/>
    <xf numFmtId="0" fontId="3" fillId="0" borderId="0" applyAlignment="1" pivotButton="0" quotePrefix="0" xfId="13">
      <alignment horizontal="left"/>
    </xf>
    <xf numFmtId="0" fontId="3" fillId="0" borderId="0" applyAlignment="1" pivotButton="0" quotePrefix="0" xfId="13">
      <alignment horizontal="center"/>
    </xf>
    <xf numFmtId="41" fontId="3" fillId="0" borderId="0" pivotButton="0" quotePrefix="0" xfId="13"/>
    <xf numFmtId="0" fontId="10" fillId="0" borderId="0" applyAlignment="1" pivotButton="0" quotePrefix="0" xfId="13">
      <alignment horizontal="center" vertical="center"/>
    </xf>
    <xf numFmtId="0" fontId="8" fillId="0" borderId="0" applyAlignment="1" pivotButton="0" quotePrefix="0" xfId="13">
      <alignment vertical="center"/>
    </xf>
    <xf numFmtId="0" fontId="8" fillId="0" borderId="0" pivotButton="0" quotePrefix="0" xfId="13"/>
    <xf numFmtId="0" fontId="8" fillId="0" borderId="0" applyAlignment="1" pivotButton="0" quotePrefix="0" xfId="13">
      <alignment horizontal="center"/>
    </xf>
    <xf numFmtId="0" fontId="8" fillId="0" borderId="0" applyAlignment="1" pivotButton="0" quotePrefix="0" xfId="13">
      <alignment horizontal="left" vertical="center" wrapText="1"/>
    </xf>
    <xf numFmtId="15" fontId="8" fillId="0" borderId="0" applyAlignment="1" pivotButton="0" quotePrefix="0" xfId="13">
      <alignment horizontal="left"/>
    </xf>
    <xf numFmtId="41" fontId="8" fillId="0" borderId="0" pivotButton="0" quotePrefix="0" xfId="13"/>
    <xf numFmtId="4" fontId="8" fillId="0" borderId="0" pivotButton="0" quotePrefix="0" xfId="13"/>
    <xf numFmtId="0" fontId="9" fillId="0" borderId="0" applyAlignment="1" pivotButton="0" quotePrefix="0" xfId="13">
      <alignment horizontal="left"/>
    </xf>
    <xf numFmtId="0" fontId="9" fillId="0" borderId="8" pivotButton="0" quotePrefix="0" xfId="13"/>
    <xf numFmtId="166" fontId="4" fillId="0" borderId="5" applyAlignment="1" pivotButton="0" quotePrefix="0" xfId="22">
      <alignment horizontal="center" vertical="center"/>
    </xf>
    <xf numFmtId="9" fontId="24" fillId="0" borderId="0" pivotButton="0" quotePrefix="0" xfId="29"/>
    <xf numFmtId="0" fontId="4" fillId="0" borderId="0" pivotButton="0" quotePrefix="0" xfId="13"/>
    <xf numFmtId="0" fontId="3" fillId="0" borderId="0" pivotButton="0" quotePrefix="0" xfId="13"/>
    <xf numFmtId="0" fontId="4" fillId="0" borderId="0" applyAlignment="1" pivotButton="0" quotePrefix="0" xfId="13">
      <alignment horizontal="center"/>
    </xf>
    <xf numFmtId="41" fontId="4" fillId="0" borderId="0" pivotButton="0" quotePrefix="0" xfId="13"/>
    <xf numFmtId="41" fontId="25" fillId="0" borderId="0" pivotButton="0" quotePrefix="0" xfId="13"/>
    <xf numFmtId="0" fontId="9" fillId="0" borderId="0" applyAlignment="1" pivotButton="0" quotePrefix="0" xfId="13">
      <alignment horizontal="center"/>
    </xf>
    <xf numFmtId="43" fontId="8" fillId="0" borderId="0" applyAlignment="1" pivotButton="0" quotePrefix="0" xfId="13">
      <alignment horizontal="center" vertical="center" wrapText="1" shrinkToFit="1"/>
    </xf>
    <xf numFmtId="1" fontId="3" fillId="0" borderId="0" pivotButton="0" quotePrefix="0" xfId="13"/>
    <xf numFmtId="1" fontId="8" fillId="0" borderId="0" pivotButton="0" quotePrefix="0" xfId="13"/>
    <xf numFmtId="43" fontId="8" fillId="0" borderId="0" pivotButton="0" quotePrefix="0" xfId="13"/>
    <xf numFmtId="1" fontId="9" fillId="0" borderId="0" pivotButton="0" quotePrefix="0" xfId="13"/>
    <xf numFmtId="1" fontId="3" fillId="0" borderId="0" pivotButton="0" quotePrefix="0" xfId="13"/>
    <xf numFmtId="41" fontId="3" fillId="0" borderId="3" pivotButton="0" quotePrefix="0" xfId="2"/>
    <xf numFmtId="166" fontId="3" fillId="0" borderId="4" pivotButton="0" quotePrefix="0" xfId="0"/>
    <xf numFmtId="41" fontId="8" fillId="0" borderId="0" pivotButton="0" quotePrefix="0" xfId="13"/>
    <xf numFmtId="0" fontId="8" fillId="0" borderId="0" applyAlignment="1" pivotButton="0" quotePrefix="0" xfId="13">
      <alignment horizontal="center" vertical="center"/>
    </xf>
    <xf numFmtId="164" fontId="26" fillId="0" borderId="0" applyAlignment="1" pivotButton="0" quotePrefix="0" xfId="2">
      <alignment horizontal="center"/>
    </xf>
    <xf numFmtId="167" fontId="26" fillId="0" borderId="0" applyAlignment="1" pivotButton="0" quotePrefix="0" xfId="13">
      <alignment horizontal="center"/>
    </xf>
    <xf numFmtId="41" fontId="4" fillId="0" borderId="1" applyAlignment="1" pivotButton="0" quotePrefix="0" xfId="2">
      <alignment vertical="center"/>
    </xf>
    <xf numFmtId="41" fontId="4" fillId="0" borderId="14" applyAlignment="1" pivotButton="0" quotePrefix="0" xfId="2">
      <alignment vertical="center"/>
    </xf>
    <xf numFmtId="41" fontId="4" fillId="0" borderId="15" applyAlignment="1" pivotButton="0" quotePrefix="0" xfId="2">
      <alignment vertical="center"/>
    </xf>
    <xf numFmtId="166" fontId="3" fillId="0" borderId="7" applyAlignment="1" pivotButton="0" quotePrefix="0" xfId="22">
      <alignment horizontal="right" vertical="center"/>
    </xf>
    <xf numFmtId="171" fontId="8" fillId="0" borderId="0" pivotButton="0" quotePrefix="0" xfId="13"/>
    <xf numFmtId="0" fontId="4" fillId="0" borderId="0" applyAlignment="1" pivotButton="0" quotePrefix="0" xfId="13">
      <alignment vertical="center"/>
    </xf>
    <xf numFmtId="0" fontId="4" fillId="0" borderId="0" applyAlignment="1" pivotButton="0" quotePrefix="0" xfId="13">
      <alignment vertical="center"/>
    </xf>
    <xf numFmtId="1" fontId="4" fillId="0" borderId="0" pivotButton="0" quotePrefix="0" xfId="13"/>
    <xf numFmtId="0" fontId="4" fillId="0" borderId="0" pivotButton="0" quotePrefix="0" xfId="13"/>
    <xf numFmtId="170" fontId="8" fillId="0" borderId="12" applyAlignment="1" pivotButton="0" quotePrefix="0" xfId="12">
      <alignment vertical="center"/>
    </xf>
    <xf numFmtId="170" fontId="8" fillId="0" borderId="3" applyAlignment="1" pivotButton="0" quotePrefix="0" xfId="12">
      <alignment vertical="center"/>
    </xf>
    <xf numFmtId="170" fontId="8" fillId="0" borderId="4" applyAlignment="1" pivotButton="0" quotePrefix="0" xfId="12">
      <alignment vertical="center"/>
    </xf>
    <xf numFmtId="170" fontId="8" fillId="0" borderId="12" applyAlignment="1" pivotButton="0" quotePrefix="1" xfId="12">
      <alignment vertical="center"/>
    </xf>
    <xf numFmtId="167" fontId="3" fillId="0" borderId="12" applyAlignment="1" pivotButton="0" quotePrefix="0" xfId="13">
      <alignment horizontal="center" vertical="center" shrinkToFit="1"/>
    </xf>
    <xf numFmtId="167" fontId="3" fillId="0" borderId="7" applyAlignment="1" pivotButton="0" quotePrefix="0" xfId="13">
      <alignment horizontal="center" vertical="center" shrinkToFit="1"/>
    </xf>
    <xf numFmtId="167" fontId="3" fillId="0" borderId="4" applyAlignment="1" pivotButton="0" quotePrefix="0" xfId="13">
      <alignment horizontal="center" vertical="center" shrinkToFit="1"/>
    </xf>
    <xf numFmtId="167" fontId="3" fillId="0" borderId="12" applyAlignment="1" pivotButton="0" quotePrefix="0" xfId="5">
      <alignment horizontal="center" vertical="center" shrinkToFit="1"/>
    </xf>
    <xf numFmtId="167" fontId="3" fillId="0" borderId="7" applyAlignment="1" pivotButton="0" quotePrefix="0" xfId="5">
      <alignment horizontal="center" vertical="center" shrinkToFit="1"/>
    </xf>
    <xf numFmtId="3" fontId="3" fillId="0" borderId="3" applyAlignment="1" pivotButton="0" quotePrefix="0" xfId="17">
      <alignment vertical="center"/>
    </xf>
    <xf numFmtId="3" fontId="3" fillId="0" borderId="4" applyAlignment="1" pivotButton="0" quotePrefix="0" xfId="17">
      <alignment vertical="center"/>
    </xf>
    <xf numFmtId="164" fontId="3" fillId="0" borderId="1" applyAlignment="1" pivotButton="0" quotePrefix="0" xfId="13">
      <alignment horizontal="center" shrinkToFit="1"/>
    </xf>
    <xf numFmtId="164" fontId="3" fillId="0" borderId="5" applyAlignment="1" pivotButton="0" quotePrefix="0" xfId="13">
      <alignment horizontal="center" shrinkToFit="1"/>
    </xf>
    <xf numFmtId="43" fontId="3" fillId="0" borderId="15" applyAlignment="1" pivotButton="0" quotePrefix="0" xfId="13">
      <alignment horizontal="center" vertical="justify" shrinkToFit="1"/>
    </xf>
    <xf numFmtId="3" fontId="3" fillId="0" borderId="3" applyAlignment="1" pivotButton="0" quotePrefix="0" xfId="17">
      <alignment vertical="center" wrapText="1"/>
    </xf>
    <xf numFmtId="3" fontId="3" fillId="0" borderId="4" applyAlignment="1" pivotButton="0" quotePrefix="0" xfId="17">
      <alignment vertical="center" wrapText="1"/>
    </xf>
    <xf numFmtId="41" fontId="3" fillId="0" borderId="3" applyAlignment="1" pivotButton="0" quotePrefix="0" xfId="2">
      <alignment horizontal="left" vertical="center"/>
    </xf>
    <xf numFmtId="167" fontId="3" fillId="0" borderId="0" applyAlignment="1" pivotButton="0" quotePrefix="0" xfId="13">
      <alignment horizontal="center"/>
    </xf>
    <xf numFmtId="172" fontId="9" fillId="0" borderId="7" applyAlignment="1" pivotButton="0" quotePrefix="0" xfId="12">
      <alignment horizontal="center" vertical="center"/>
    </xf>
    <xf numFmtId="172" fontId="9" fillId="0" borderId="4" applyAlignment="1" pivotButton="0" quotePrefix="0" xfId="12">
      <alignment horizontal="center" vertical="center"/>
    </xf>
    <xf numFmtId="41" fontId="4" fillId="0" borderId="4" applyAlignment="1" pivotButton="0" quotePrefix="0" xfId="2">
      <alignment horizontal="left" vertical="center"/>
    </xf>
    <xf numFmtId="0" fontId="3" fillId="0" borderId="12" applyAlignment="1" pivotButton="0" quotePrefix="0" xfId="2">
      <alignment vertical="center"/>
    </xf>
    <xf numFmtId="1" fontId="3" fillId="0" borderId="12" applyAlignment="1" pivotButton="0" quotePrefix="0" xfId="13">
      <alignment vertical="center"/>
    </xf>
    <xf numFmtId="173" fontId="3" fillId="0" borderId="3" applyAlignment="1" pivotButton="0" quotePrefix="0" xfId="13">
      <alignment vertical="center"/>
    </xf>
    <xf numFmtId="41" fontId="3" fillId="0" borderId="3" applyAlignment="1" pivotButton="0" quotePrefix="0" xfId="2">
      <alignment vertical="center"/>
    </xf>
    <xf numFmtId="166" fontId="3" fillId="0" borderId="4" applyAlignment="1" pivotButton="0" quotePrefix="0" xfId="0">
      <alignment vertical="center"/>
    </xf>
    <xf numFmtId="0" fontId="9" fillId="0" borderId="0" applyAlignment="1" pivotButton="0" quotePrefix="0" xfId="13">
      <alignment vertical="center"/>
    </xf>
    <xf numFmtId="2" fontId="3" fillId="0" borderId="4" applyAlignment="1" pivotButton="0" quotePrefix="0" xfId="11">
      <alignment horizontal="center" vertical="center" shrinkToFit="1"/>
    </xf>
    <xf numFmtId="0" fontId="3" fillId="0" borderId="0" applyAlignment="1" pivotButton="0" quotePrefix="0" xfId="13">
      <alignment horizontal="right"/>
    </xf>
    <xf numFmtId="0" fontId="17" fillId="0" borderId="0" applyAlignment="1" pivotButton="0" quotePrefix="0" xfId="0">
      <alignment horizontal="left" vertical="center"/>
    </xf>
    <xf numFmtId="167" fontId="3" fillId="0" borderId="16" applyAlignment="1" pivotButton="0" quotePrefix="0" xfId="13">
      <alignment horizontal="center" vertical="center" shrinkToFit="1"/>
    </xf>
    <xf numFmtId="0" fontId="3" fillId="0" borderId="7" applyAlignment="1" pivotButton="0" quotePrefix="0" xfId="22">
      <alignment horizontal="right" vertical="center"/>
    </xf>
    <xf numFmtId="0" fontId="4" fillId="0" borderId="7" applyAlignment="1" pivotButton="0" quotePrefix="0" xfId="22">
      <alignment horizontal="center" vertical="center"/>
    </xf>
    <xf numFmtId="0" fontId="4" fillId="0" borderId="12" applyAlignment="1" pivotButton="0" quotePrefix="0" xfId="2">
      <alignment vertical="center"/>
    </xf>
    <xf numFmtId="0" fontId="4" fillId="0" borderId="7" applyAlignment="1" pivotButton="0" quotePrefix="0" xfId="22">
      <alignment horizontal="right" vertical="center"/>
    </xf>
    <xf numFmtId="167" fontId="3" fillId="0" borderId="0" applyAlignment="1" pivotButton="0" quotePrefix="0" xfId="5">
      <alignment horizontal="center" vertical="center" shrinkToFit="1"/>
    </xf>
    <xf numFmtId="49" fontId="3" fillId="0" borderId="12" applyAlignment="1" pivotButton="0" quotePrefix="0" xfId="2">
      <alignment vertical="center"/>
    </xf>
    <xf numFmtId="164" fontId="3" fillId="0" borderId="1" applyAlignment="1" pivotButton="0" quotePrefix="0" xfId="13">
      <alignment horizontal="center" vertical="center" shrinkToFit="1"/>
    </xf>
    <xf numFmtId="164" fontId="3" fillId="0" borderId="5" applyAlignment="1" pivotButton="0" quotePrefix="0" xfId="13">
      <alignment horizontal="center" vertical="center" shrinkToFit="1"/>
    </xf>
    <xf numFmtId="43" fontId="3" fillId="0" borderId="15" applyAlignment="1" pivotButton="0" quotePrefix="0" xfId="13">
      <alignment horizontal="center" vertical="center" shrinkToFit="1"/>
    </xf>
    <xf numFmtId="41" fontId="3" fillId="0" borderId="5" applyAlignment="1" pivotButton="0" quotePrefix="0" xfId="2">
      <alignment horizontal="right" vertical="center" shrinkToFit="1"/>
    </xf>
    <xf numFmtId="41" fontId="3" fillId="0" borderId="0" applyAlignment="1" pivotButton="0" quotePrefix="0" xfId="2">
      <alignment horizontal="right" vertical="center" shrinkToFit="1"/>
    </xf>
    <xf numFmtId="0" fontId="26" fillId="0" borderId="0" applyAlignment="1" pivotButton="0" quotePrefix="0" xfId="13">
      <alignment vertical="center"/>
    </xf>
    <xf numFmtId="0" fontId="3" fillId="0" borderId="0" applyAlignment="1" pivotButton="0" quotePrefix="0" xfId="13">
      <alignment vertical="center"/>
    </xf>
    <xf numFmtId="9" fontId="26" fillId="0" borderId="0" applyAlignment="1" pivotButton="0" quotePrefix="0" xfId="29">
      <alignment vertical="center"/>
    </xf>
    <xf numFmtId="0" fontId="8" fillId="0" borderId="0" applyAlignment="1" pivotButton="0" quotePrefix="0" xfId="13">
      <alignment vertical="top"/>
    </xf>
    <xf numFmtId="0" fontId="3" fillId="0" borderId="0" applyAlignment="1" pivotButton="0" quotePrefix="0" xfId="13">
      <alignment horizontal="left" vertical="top"/>
    </xf>
    <xf numFmtId="0" fontId="8" fillId="0" borderId="0" applyAlignment="1" pivotButton="0" quotePrefix="0" xfId="13">
      <alignment horizontal="center" vertical="top"/>
    </xf>
    <xf numFmtId="0" fontId="3" fillId="0" borderId="0" applyAlignment="1" pivotButton="0" quotePrefix="0" xfId="13">
      <alignment horizontal="left" vertical="center"/>
    </xf>
    <xf numFmtId="15" fontId="8" fillId="0" borderId="0" applyAlignment="1" pivotButton="0" quotePrefix="0" xfId="13">
      <alignment horizontal="left" vertical="center"/>
    </xf>
    <xf numFmtId="164" fontId="8" fillId="0" borderId="0" applyAlignment="1" pivotButton="0" quotePrefix="0" xfId="2">
      <alignment horizontal="center" vertical="center"/>
    </xf>
    <xf numFmtId="41" fontId="8" fillId="0" borderId="0" applyAlignment="1" pivotButton="0" quotePrefix="0" xfId="13">
      <alignment vertical="center"/>
    </xf>
    <xf numFmtId="0" fontId="3" fillId="0" borderId="0" applyAlignment="1" pivotButton="0" quotePrefix="0" xfId="13">
      <alignment vertical="center"/>
    </xf>
    <xf numFmtId="4" fontId="8" fillId="0" borderId="0" applyAlignment="1" pivotButton="0" quotePrefix="0" xfId="13">
      <alignment vertical="center"/>
    </xf>
    <xf numFmtId="1" fontId="4" fillId="0" borderId="12" applyAlignment="1" pivotButton="0" quotePrefix="0" xfId="13">
      <alignment vertical="center"/>
    </xf>
    <xf numFmtId="0" fontId="8" fillId="0" borderId="0" applyAlignment="1" pivotButton="0" quotePrefix="0" xfId="0">
      <alignment vertical="top"/>
    </xf>
    <xf numFmtId="0" fontId="8" fillId="0" borderId="0" applyAlignment="1" pivotButton="0" quotePrefix="0" xfId="0">
      <alignment horizontal="center" vertical="top"/>
    </xf>
    <xf numFmtId="0" fontId="3" fillId="0" borderId="7" applyAlignment="1" pivotButton="0" quotePrefix="0" xfId="22">
      <alignment vertical="center"/>
    </xf>
    <xf numFmtId="0" fontId="3" fillId="0" borderId="3" applyAlignment="1" pivotButton="0" quotePrefix="0" xfId="17">
      <alignment vertical="center"/>
    </xf>
    <xf numFmtId="0" fontId="3" fillId="0" borderId="12" applyAlignment="1" pivotButton="0" quotePrefix="0" xfId="2">
      <alignment horizontal="center" vertical="center"/>
    </xf>
    <xf numFmtId="0" fontId="27" fillId="0" borderId="0" pivotButton="0" quotePrefix="0" xfId="0"/>
    <xf numFmtId="174" fontId="27" fillId="0" borderId="0" pivotButton="0" quotePrefix="0" xfId="0"/>
    <xf numFmtId="174" fontId="27" fillId="0" borderId="0" pivotButton="0" quotePrefix="0" xfId="12"/>
    <xf numFmtId="0" fontId="4" fillId="0" borderId="0" applyAlignment="1" pivotButton="0" quotePrefix="0" xfId="14">
      <alignment horizontal="left"/>
    </xf>
    <xf numFmtId="0" fontId="4" fillId="0" borderId="0" applyAlignment="1" pivotButton="0" quotePrefix="0" xfId="14">
      <alignment horizontal="left" vertical="top"/>
    </xf>
    <xf numFmtId="0" fontId="4" fillId="0" borderId="0" applyAlignment="1" pivotButton="0" quotePrefix="0" xfId="14">
      <alignment vertical="top"/>
    </xf>
    <xf numFmtId="0" fontId="4" fillId="0" borderId="0" applyAlignment="1" pivotButton="0" quotePrefix="0" xfId="14">
      <alignment vertical="top" wrapText="1"/>
    </xf>
    <xf numFmtId="174" fontId="4" fillId="0" borderId="0" applyAlignment="1" pivotButton="0" quotePrefix="0" xfId="14">
      <alignment vertical="top" wrapText="1"/>
    </xf>
    <xf numFmtId="170" fontId="3" fillId="0" borderId="0" applyAlignment="1" pivotButton="0" quotePrefix="0" xfId="12">
      <alignment horizontal="center"/>
    </xf>
    <xf numFmtId="0" fontId="4" fillId="0" borderId="0" pivotButton="0" quotePrefix="0" xfId="14"/>
    <xf numFmtId="0" fontId="3" fillId="0" borderId="0" pivotButton="0" quotePrefix="0" xfId="14"/>
    <xf numFmtId="0" fontId="3" fillId="0" borderId="0" applyAlignment="1" pivotButton="0" quotePrefix="0" xfId="14">
      <alignment horizontal="center"/>
    </xf>
    <xf numFmtId="174" fontId="3" fillId="0" borderId="0" applyAlignment="1" pivotButton="0" quotePrefix="0" xfId="12">
      <alignment horizontal="center"/>
    </xf>
    <xf numFmtId="0" fontId="3" fillId="0" borderId="0" applyAlignment="1" pivotButton="0" quotePrefix="0" xfId="14">
      <alignment horizontal="left"/>
    </xf>
    <xf numFmtId="0" fontId="28" fillId="0" borderId="0" pivotButton="0" quotePrefix="0" xfId="0"/>
    <xf numFmtId="15" fontId="28" fillId="0" borderId="0" pivotButton="0" quotePrefix="0" xfId="0"/>
    <xf numFmtId="174" fontId="4" fillId="0" borderId="5" applyAlignment="1" pivotButton="0" quotePrefix="0" xfId="12">
      <alignment horizontal="center" vertical="center" shrinkToFit="1"/>
    </xf>
    <xf numFmtId="170" fontId="4" fillId="0" borderId="5" applyAlignment="1" pivotButton="0" quotePrefix="0" xfId="12">
      <alignment horizontal="center" vertical="center" shrinkToFit="1"/>
    </xf>
    <xf numFmtId="174" fontId="4" fillId="0" borderId="2" applyAlignment="1" pivotButton="0" quotePrefix="0" xfId="12">
      <alignment horizontal="center" vertical="center" wrapText="1"/>
    </xf>
    <xf numFmtId="0" fontId="4" fillId="0" borderId="5" applyAlignment="1" pivotButton="0" quotePrefix="0" xfId="15">
      <alignment horizontal="center"/>
    </xf>
    <xf numFmtId="41" fontId="4" fillId="0" borderId="1" applyAlignment="1" pivotButton="0" quotePrefix="0" xfId="4">
      <alignment horizontal="left"/>
    </xf>
    <xf numFmtId="41" fontId="4" fillId="0" borderId="14" applyAlignment="1" pivotButton="0" quotePrefix="0" xfId="4">
      <alignment horizontal="left"/>
    </xf>
    <xf numFmtId="41" fontId="3" fillId="0" borderId="14" pivotButton="0" quotePrefix="0" xfId="4"/>
    <xf numFmtId="166" fontId="3" fillId="0" borderId="15" pivotButton="0" quotePrefix="0" xfId="15"/>
    <xf numFmtId="43" fontId="3" fillId="0" borderId="5" applyAlignment="1" pivotButton="0" quotePrefix="0" xfId="14">
      <alignment horizontal="center" vertical="justify" shrinkToFit="1"/>
    </xf>
    <xf numFmtId="174" fontId="3" fillId="0" borderId="1" applyAlignment="1" pivotButton="0" quotePrefix="0" xfId="12">
      <alignment horizontal="center" vertical="center" wrapText="1" shrinkToFit="1"/>
    </xf>
    <xf numFmtId="174" fontId="3" fillId="0" borderId="17" applyAlignment="1" pivotButton="0" quotePrefix="0" xfId="12">
      <alignment horizontal="center" shrinkToFit="1"/>
    </xf>
    <xf numFmtId="170" fontId="4" fillId="0" borderId="5" applyAlignment="1" pivotButton="0" quotePrefix="0" xfId="12">
      <alignment horizontal="center" vertical="center" wrapText="1" shrinkToFit="1"/>
    </xf>
    <xf numFmtId="174" fontId="27" fillId="0" borderId="5" pivotButton="0" quotePrefix="0" xfId="12"/>
    <xf numFmtId="0" fontId="4" fillId="0" borderId="9" applyAlignment="1" pivotButton="0" quotePrefix="0" xfId="15">
      <alignment horizontal="right"/>
    </xf>
    <xf numFmtId="3" fontId="3" fillId="0" borderId="0" applyAlignment="1" pivotButton="0" quotePrefix="0" xfId="20">
      <alignment vertical="center" wrapText="1"/>
    </xf>
    <xf numFmtId="3" fontId="3" fillId="0" borderId="11" applyAlignment="1" pivotButton="0" quotePrefix="0" xfId="20">
      <alignment vertical="center" wrapText="1"/>
    </xf>
    <xf numFmtId="43" fontId="3" fillId="0" borderId="9" applyAlignment="1" pivotButton="0" quotePrefix="0" xfId="14">
      <alignment horizontal="center" vertical="top" shrinkToFit="1"/>
    </xf>
    <xf numFmtId="174" fontId="3" fillId="0" borderId="10" applyAlignment="1" pivotButton="0" quotePrefix="0" xfId="12">
      <alignment horizontal="center" vertical="top" shrinkToFit="1"/>
    </xf>
    <xf numFmtId="174" fontId="3" fillId="0" borderId="18" applyAlignment="1" pivotButton="0" quotePrefix="0" xfId="12">
      <alignment horizontal="center" vertical="top" shrinkToFit="1"/>
    </xf>
    <xf numFmtId="170" fontId="3" fillId="0" borderId="9" applyAlignment="1" pivotButton="0" quotePrefix="0" xfId="12">
      <alignment horizontal="center" vertical="top" shrinkToFit="1"/>
    </xf>
    <xf numFmtId="174" fontId="27" fillId="0" borderId="9" pivotButton="0" quotePrefix="0" xfId="12"/>
    <xf numFmtId="10" fontId="28" fillId="0" borderId="0" pivotButton="0" quotePrefix="0" xfId="0"/>
    <xf numFmtId="0" fontId="3" fillId="0" borderId="9" applyAlignment="1" pivotButton="0" quotePrefix="0" xfId="15">
      <alignment horizontal="right"/>
    </xf>
    <xf numFmtId="41" fontId="3" fillId="0" borderId="10" applyAlignment="1" pivotButton="0" quotePrefix="0" xfId="4">
      <alignment horizontal="left"/>
    </xf>
    <xf numFmtId="3" fontId="3" fillId="0" borderId="0" pivotButton="0" quotePrefix="0" xfId="20"/>
    <xf numFmtId="41" fontId="4" fillId="0" borderId="0" applyAlignment="1" pivotButton="0" quotePrefix="0" xfId="4">
      <alignment horizontal="left"/>
    </xf>
    <xf numFmtId="41" fontId="3" fillId="0" borderId="0" pivotButton="0" quotePrefix="0" xfId="4"/>
    <xf numFmtId="166" fontId="3" fillId="0" borderId="11" pivotButton="0" quotePrefix="0" xfId="15"/>
    <xf numFmtId="43" fontId="3" fillId="0" borderId="9" applyAlignment="1" pivotButton="0" quotePrefix="0" xfId="14">
      <alignment horizontal="center" vertical="justify" shrinkToFit="1"/>
    </xf>
    <xf numFmtId="174" fontId="3" fillId="0" borderId="10" applyAlignment="1" pivotButton="0" quotePrefix="0" xfId="12">
      <alignment horizontal="center" shrinkToFit="1"/>
    </xf>
    <xf numFmtId="170" fontId="3" fillId="0" borderId="9" applyAlignment="1" pivotButton="0" quotePrefix="0" xfId="12">
      <alignment horizontal="center" shrinkToFit="1"/>
    </xf>
    <xf numFmtId="10" fontId="3" fillId="0" borderId="0" applyAlignment="1" pivotButton="0" quotePrefix="0" xfId="0">
      <alignment vertical="center"/>
    </xf>
    <xf numFmtId="174" fontId="3" fillId="0" borderId="18" applyAlignment="1" pivotButton="0" quotePrefix="0" xfId="12">
      <alignment horizontal="center" shrinkToFit="1"/>
    </xf>
    <xf numFmtId="170" fontId="3" fillId="0" borderId="9" applyAlignment="1" pivotButton="0" quotePrefix="0" xfId="12">
      <alignment horizontal="center" vertical="center" wrapText="1" shrinkToFit="1"/>
    </xf>
    <xf numFmtId="41" fontId="4" fillId="0" borderId="10" applyAlignment="1" pivotButton="0" quotePrefix="0" xfId="4">
      <alignment horizontal="left"/>
    </xf>
    <xf numFmtId="41" fontId="3" fillId="0" borderId="0" applyAlignment="1" pivotButton="0" quotePrefix="0" xfId="4">
      <alignment horizontal="left"/>
    </xf>
    <xf numFmtId="173" fontId="3" fillId="0" borderId="0" pivotButton="0" quotePrefix="0" xfId="14"/>
    <xf numFmtId="41" fontId="4" fillId="0" borderId="11" applyAlignment="1" pivotButton="0" quotePrefix="0" xfId="4">
      <alignment horizontal="right"/>
    </xf>
    <xf numFmtId="166" fontId="4" fillId="2" borderId="2" applyAlignment="1" pivotButton="0" quotePrefix="0" xfId="15">
      <alignment horizontal="center"/>
    </xf>
    <xf numFmtId="41" fontId="4" fillId="2" borderId="19" applyAlignment="1" pivotButton="0" quotePrefix="0" xfId="4">
      <alignment horizontal="left"/>
    </xf>
    <xf numFmtId="3" fontId="3" fillId="2" borderId="20" pivotButton="0" quotePrefix="0" xfId="20"/>
    <xf numFmtId="41" fontId="4" fillId="2" borderId="20" applyAlignment="1" pivotButton="0" quotePrefix="0" xfId="4">
      <alignment horizontal="left"/>
    </xf>
    <xf numFmtId="41" fontId="3" fillId="2" borderId="20" pivotButton="0" quotePrefix="0" xfId="4"/>
    <xf numFmtId="41" fontId="4" fillId="2" borderId="13" applyAlignment="1" pivotButton="0" quotePrefix="0" xfId="4">
      <alignment horizontal="right"/>
    </xf>
    <xf numFmtId="43" fontId="3" fillId="2" borderId="2" applyAlignment="1" pivotButton="0" quotePrefix="0" xfId="14">
      <alignment horizontal="center" vertical="justify" shrinkToFit="1"/>
    </xf>
    <xf numFmtId="174" fontId="3" fillId="2" borderId="19" applyAlignment="1" pivotButton="0" quotePrefix="0" xfId="12">
      <alignment horizontal="center" vertical="center" wrapText="1" shrinkToFit="1"/>
    </xf>
    <xf numFmtId="174" fontId="3" fillId="2" borderId="21" applyAlignment="1" pivotButton="0" quotePrefix="0" xfId="12">
      <alignment horizontal="center" shrinkToFit="1"/>
    </xf>
    <xf numFmtId="170" fontId="4" fillId="2" borderId="2" applyAlignment="1" pivotButton="0" quotePrefix="0" xfId="12">
      <alignment horizontal="center" vertical="center" wrapText="1" shrinkToFit="1"/>
    </xf>
    <xf numFmtId="174" fontId="4" fillId="2" borderId="2" applyAlignment="1" pivotButton="0" quotePrefix="0" xfId="12">
      <alignment horizontal="center" vertical="center" wrapText="1" shrinkToFit="1"/>
    </xf>
    <xf numFmtId="0" fontId="4" fillId="0" borderId="9" applyAlignment="1" pivotButton="0" quotePrefix="0" xfId="15">
      <alignment horizontal="center"/>
    </xf>
    <xf numFmtId="174" fontId="3" fillId="0" borderId="10" applyAlignment="1" pivotButton="0" quotePrefix="0" xfId="12">
      <alignment horizontal="center" vertical="center" wrapText="1" shrinkToFit="1"/>
    </xf>
    <xf numFmtId="170" fontId="4" fillId="0" borderId="9" applyAlignment="1" pivotButton="0" quotePrefix="0" xfId="12">
      <alignment horizontal="center" vertical="center" wrapText="1" shrinkToFit="1"/>
    </xf>
    <xf numFmtId="41" fontId="4" fillId="0" borderId="0" pivotButton="0" quotePrefix="0" xfId="4"/>
    <xf numFmtId="0" fontId="3" fillId="0" borderId="9" applyAlignment="1" pivotButton="0" quotePrefix="0" xfId="15">
      <alignment horizontal="center"/>
    </xf>
    <xf numFmtId="0" fontId="3" fillId="0" borderId="0" applyAlignment="1" pivotButton="0" quotePrefix="0" xfId="15">
      <alignment horizontal="right"/>
    </xf>
    <xf numFmtId="166" fontId="3" fillId="0" borderId="0" pivotButton="0" quotePrefix="0" xfId="15"/>
    <xf numFmtId="43" fontId="3" fillId="0" borderId="0" applyAlignment="1" pivotButton="0" quotePrefix="0" xfId="14">
      <alignment horizontal="center" vertical="justify" shrinkToFit="1"/>
    </xf>
    <xf numFmtId="174" fontId="3" fillId="0" borderId="0" applyAlignment="1" pivotButton="0" quotePrefix="0" xfId="12">
      <alignment horizontal="center" vertical="center" wrapText="1" shrinkToFit="1"/>
    </xf>
    <xf numFmtId="174" fontId="3" fillId="0" borderId="0" applyAlignment="1" pivotButton="0" quotePrefix="0" xfId="12">
      <alignment horizontal="center" shrinkToFit="1"/>
    </xf>
    <xf numFmtId="170" fontId="3" fillId="0" borderId="0" applyAlignment="1" pivotButton="0" quotePrefix="0" xfId="12">
      <alignment horizontal="center" shrinkToFit="1"/>
    </xf>
    <xf numFmtId="170" fontId="3" fillId="0" borderId="0" applyAlignment="1" pivotButton="0" quotePrefix="0" xfId="12">
      <alignment horizontal="center" vertical="center" wrapText="1" shrinkToFit="1"/>
    </xf>
    <xf numFmtId="0" fontId="4" fillId="0" borderId="0" applyAlignment="1" pivotButton="0" quotePrefix="0" xfId="15">
      <alignment horizontal="right"/>
    </xf>
    <xf numFmtId="170" fontId="4" fillId="0" borderId="0" applyAlignment="1" pivotButton="0" quotePrefix="0" xfId="12">
      <alignment horizontal="center" vertical="center" wrapText="1" shrinkToFit="1"/>
    </xf>
    <xf numFmtId="41" fontId="4" fillId="0" borderId="0" applyAlignment="1" pivotButton="0" quotePrefix="0" xfId="4">
      <alignment vertical="center"/>
    </xf>
    <xf numFmtId="43" fontId="3" fillId="0" borderId="0" applyAlignment="1" pivotButton="0" quotePrefix="0" xfId="14">
      <alignment horizontal="center" vertical="top" shrinkToFit="1"/>
    </xf>
    <xf numFmtId="174" fontId="3" fillId="0" borderId="0" applyAlignment="1" pivotButton="0" quotePrefix="0" xfId="12">
      <alignment horizontal="center" vertical="top" shrinkToFit="1"/>
    </xf>
    <xf numFmtId="170" fontId="3" fillId="0" borderId="0" applyAlignment="1" pivotButton="0" quotePrefix="0" xfId="12">
      <alignment horizontal="center" vertical="top" shrinkToFit="1"/>
    </xf>
    <xf numFmtId="170" fontId="3" fillId="0" borderId="0" applyAlignment="1" pivotButton="0" quotePrefix="0" xfId="12">
      <alignment horizontal="center" vertical="top" wrapText="1" shrinkToFit="1"/>
    </xf>
    <xf numFmtId="166" fontId="4" fillId="0" borderId="0" applyAlignment="1" pivotButton="0" quotePrefix="0" xfId="15">
      <alignment horizontal="right"/>
    </xf>
    <xf numFmtId="0" fontId="27" fillId="0" borderId="0" applyAlignment="1" pivotButton="0" quotePrefix="0" xfId="0">
      <alignment horizontal="right"/>
    </xf>
    <xf numFmtId="41" fontId="3" fillId="0" borderId="10" applyAlignment="1" pivotButton="0" quotePrefix="0" xfId="4">
      <alignment vertical="center"/>
    </xf>
    <xf numFmtId="0" fontId="3" fillId="0" borderId="9" applyAlignment="1" pivotButton="0" quotePrefix="0" xfId="15">
      <alignment horizontal="right"/>
    </xf>
    <xf numFmtId="0" fontId="3" fillId="0" borderId="9" pivotButton="0" quotePrefix="0" xfId="15"/>
    <xf numFmtId="175" fontId="3" fillId="0" borderId="10" applyAlignment="1" pivotButton="0" quotePrefix="0" xfId="11">
      <alignment horizontal="right" vertical="center" wrapText="1" shrinkToFit="1"/>
    </xf>
    <xf numFmtId="175" fontId="3" fillId="0" borderId="10" applyAlignment="1" pivotButton="0" quotePrefix="0" xfId="11">
      <alignment horizontal="right" vertical="center" wrapText="1" shrinkToFit="1"/>
    </xf>
    <xf numFmtId="175" fontId="3" fillId="0" borderId="18" applyAlignment="1" pivotButton="0" quotePrefix="0" xfId="11">
      <alignment horizontal="right" shrinkToFit="1"/>
    </xf>
    <xf numFmtId="175" fontId="3" fillId="0" borderId="10" applyAlignment="1" pivotButton="0" quotePrefix="0" xfId="11">
      <alignment horizontal="right" shrinkToFit="1"/>
    </xf>
    <xf numFmtId="175" fontId="3" fillId="0" borderId="9" applyAlignment="1" pivotButton="0" quotePrefix="0" xfId="11">
      <alignment horizontal="center" vertical="top" wrapText="1" shrinkToFit="1"/>
    </xf>
    <xf numFmtId="175" fontId="3" fillId="0" borderId="9" applyAlignment="1" pivotButton="0" quotePrefix="0" xfId="11">
      <alignment horizontal="center" vertical="center" wrapText="1" shrinkToFit="1"/>
    </xf>
    <xf numFmtId="9" fontId="3" fillId="0" borderId="12" applyAlignment="1" pivotButton="0" quotePrefix="0" xfId="29">
      <alignment horizontal="center" vertical="center" shrinkToFit="1"/>
    </xf>
    <xf numFmtId="10" fontId="3" fillId="0" borderId="12" applyAlignment="1" pivotButton="0" quotePrefix="0" xfId="29">
      <alignment horizontal="center" vertical="center" shrinkToFit="1"/>
    </xf>
    <xf numFmtId="10" fontId="3" fillId="0" borderId="12" applyAlignment="1" pivotButton="0" quotePrefix="0" xfId="29">
      <alignment horizontal="center" vertical="center" wrapText="1" shrinkToFit="1"/>
    </xf>
    <xf numFmtId="9" fontId="3" fillId="0" borderId="7" applyAlignment="1" pivotButton="0" quotePrefix="0" xfId="29">
      <alignment horizontal="center" vertical="center" shrinkToFit="1"/>
    </xf>
    <xf numFmtId="4" fontId="8" fillId="0" borderId="0" applyAlignment="1" pivotButton="0" quotePrefix="0" xfId="0">
      <alignment vertical="top"/>
    </xf>
    <xf numFmtId="4" fontId="8" fillId="0" borderId="0" applyAlignment="1" pivotButton="0" quotePrefix="0" xfId="13">
      <alignment vertical="top"/>
    </xf>
    <xf numFmtId="41" fontId="15" fillId="0" borderId="0" applyAlignment="1" pivotButton="0" quotePrefix="0" xfId="12">
      <alignment vertical="center"/>
    </xf>
    <xf numFmtId="41" fontId="9" fillId="0" borderId="0" applyAlignment="1" pivotButton="0" quotePrefix="0" xfId="12">
      <alignment vertical="center"/>
    </xf>
    <xf numFmtId="173" fontId="4" fillId="0" borderId="3" applyAlignment="1" pivotButton="0" quotePrefix="0" xfId="13">
      <alignment vertical="center"/>
    </xf>
    <xf numFmtId="10" fontId="3" fillId="0" borderId="7" applyAlignment="1" pivotButton="0" quotePrefix="0" xfId="29">
      <alignment horizontal="center" vertical="center" shrinkToFit="1"/>
    </xf>
    <xf numFmtId="3" fontId="3" fillId="0" borderId="0" applyAlignment="1" pivotButton="0" quotePrefix="0" xfId="20">
      <alignment vertical="center"/>
    </xf>
    <xf numFmtId="3" fontId="3" fillId="0" borderId="0" pivotButton="0" quotePrefix="0" xfId="20"/>
    <xf numFmtId="0" fontId="29" fillId="0" borderId="0" pivotButton="0" quotePrefix="0" xfId="0"/>
    <xf numFmtId="0" fontId="32" fillId="0" borderId="0" applyAlignment="1" pivotButton="0" quotePrefix="0" xfId="28">
      <alignment horizontal="left" vertical="center"/>
    </xf>
    <xf numFmtId="0" fontId="32" fillId="0" borderId="0" pivotButton="0" quotePrefix="0" xfId="0"/>
    <xf numFmtId="0" fontId="33" fillId="0" borderId="0" applyAlignment="1" pivotButton="0" quotePrefix="0" xfId="0">
      <alignment horizontal="left" vertical="center"/>
    </xf>
    <xf numFmtId="0" fontId="33" fillId="0" borderId="0" applyAlignment="1" pivotButton="0" quotePrefix="0" xfId="28">
      <alignment horizontal="left" vertical="center"/>
    </xf>
    <xf numFmtId="0" fontId="33" fillId="0" borderId="0" applyAlignment="1" pivotButton="0" quotePrefix="0" xfId="28">
      <alignment horizontal="center" vertical="center"/>
    </xf>
    <xf numFmtId="0" fontId="34" fillId="0" borderId="0" pivotButton="0" quotePrefix="0" xfId="0"/>
    <xf numFmtId="0" fontId="34" fillId="0" borderId="25" applyAlignment="1" pivotButton="0" quotePrefix="0" xfId="0">
      <alignment horizontal="left" vertical="center" wrapText="1"/>
    </xf>
    <xf numFmtId="0" fontId="29" fillId="0" borderId="25" pivotButton="0" quotePrefix="0" xfId="0"/>
    <xf numFmtId="0" fontId="9" fillId="0" borderId="25" applyAlignment="1" pivotButton="0" quotePrefix="0" xfId="0">
      <alignment horizontal="center" vertical="center"/>
    </xf>
    <xf numFmtId="0" fontId="35" fillId="0" borderId="0" pivotButton="0" quotePrefix="0" xfId="0"/>
    <xf numFmtId="0" fontId="34" fillId="0" borderId="66" applyAlignment="1" pivotButton="0" quotePrefix="0" xfId="0">
      <alignment horizontal="center" vertical="center"/>
    </xf>
    <xf numFmtId="0" fontId="8" fillId="0" borderId="26" applyAlignment="1" pivotButton="0" quotePrefix="0" xfId="0">
      <alignment horizontal="left" vertical="center"/>
    </xf>
    <xf numFmtId="0" fontId="9" fillId="0" borderId="27" applyAlignment="1" pivotButton="0" quotePrefix="0" xfId="0">
      <alignment horizontal="left" vertical="center"/>
    </xf>
    <xf numFmtId="0" fontId="9" fillId="0" borderId="27" applyAlignment="1" pivotButton="0" quotePrefix="0" xfId="0">
      <alignment vertical="center"/>
    </xf>
    <xf numFmtId="0" fontId="9" fillId="0" borderId="28" applyAlignment="1" pivotButton="0" quotePrefix="0" xfId="0">
      <alignment vertical="center"/>
    </xf>
    <xf numFmtId="2" fontId="29" fillId="0" borderId="29" applyAlignment="1" pivotButton="0" quotePrefix="0" xfId="0">
      <alignment horizontal="left" vertical="center"/>
    </xf>
    <xf numFmtId="0" fontId="29" fillId="0" borderId="30" applyAlignment="1" pivotButton="0" quotePrefix="0" xfId="0">
      <alignment horizontal="left" vertical="center"/>
    </xf>
    <xf numFmtId="0" fontId="29" fillId="3" borderId="31" applyAlignment="1" pivotButton="0" quotePrefix="0" xfId="0">
      <alignment horizontal="center" vertical="center"/>
    </xf>
    <xf numFmtId="0" fontId="29" fillId="3" borderId="24" applyAlignment="1" pivotButton="0" quotePrefix="0" xfId="0">
      <alignment horizontal="center" vertical="center"/>
    </xf>
    <xf numFmtId="0" fontId="29" fillId="3" borderId="22" applyAlignment="1" pivotButton="0" quotePrefix="0" xfId="0">
      <alignment horizontal="center" vertical="center"/>
    </xf>
    <xf numFmtId="0" fontId="29" fillId="3" borderId="32" applyAlignment="1" pivotButton="0" quotePrefix="0" xfId="0">
      <alignment horizontal="center" vertical="center"/>
    </xf>
    <xf numFmtId="0" fontId="29" fillId="3" borderId="33" applyAlignment="1" pivotButton="0" quotePrefix="0" xfId="0">
      <alignment horizontal="center" vertical="center"/>
    </xf>
    <xf numFmtId="0" fontId="29" fillId="3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/>
    </xf>
    <xf numFmtId="0" fontId="2" fillId="0" borderId="66" applyAlignment="1" pivotButton="0" quotePrefix="0" xfId="0">
      <alignment horizontal="center" vertical="center"/>
    </xf>
    <xf numFmtId="0" fontId="2" fillId="0" borderId="35" applyAlignment="1" pivotButton="0" quotePrefix="0" xfId="0">
      <alignment horizontal="left" vertical="center"/>
    </xf>
    <xf numFmtId="0" fontId="1" fillId="0" borderId="20" applyAlignment="1" pivotButton="0" quotePrefix="0" xfId="0">
      <alignment horizontal="left" vertical="center"/>
    </xf>
    <xf numFmtId="0" fontId="1" fillId="0" borderId="20" applyAlignment="1" pivotButton="0" quotePrefix="0" xfId="0">
      <alignment vertical="center"/>
    </xf>
    <xf numFmtId="0" fontId="1" fillId="0" borderId="36" applyAlignment="1" pivotButton="0" quotePrefix="0" xfId="0">
      <alignment vertical="center"/>
    </xf>
    <xf numFmtId="176" fontId="32" fillId="0" borderId="37" applyAlignment="1" pivotButton="0" quotePrefix="0" xfId="0">
      <alignment horizontal="center" vertical="center"/>
    </xf>
    <xf numFmtId="2" fontId="32" fillId="0" borderId="30" applyAlignment="1" pivotButton="0" quotePrefix="0" xfId="0">
      <alignment horizontal="center" vertical="center"/>
    </xf>
    <xf numFmtId="2" fontId="32" fillId="3" borderId="31" applyAlignment="1" pivotButton="0" quotePrefix="0" xfId="0">
      <alignment horizontal="center" vertical="center"/>
    </xf>
    <xf numFmtId="2" fontId="32" fillId="3" borderId="24" applyAlignment="1" pivotButton="0" quotePrefix="0" xfId="0">
      <alignment horizontal="center" vertical="center"/>
    </xf>
    <xf numFmtId="2" fontId="32" fillId="3" borderId="22" applyAlignment="1" pivotButton="0" quotePrefix="0" xfId="0">
      <alignment horizontal="center" vertical="center"/>
    </xf>
    <xf numFmtId="2" fontId="32" fillId="3" borderId="38" applyAlignment="1" pivotButton="0" quotePrefix="0" xfId="0">
      <alignment horizontal="center" vertical="center"/>
    </xf>
    <xf numFmtId="0" fontId="32" fillId="0" borderId="0" applyAlignment="1" pivotButton="0" quotePrefix="0" xfId="0">
      <alignment horizontal="left" vertical="center"/>
    </xf>
    <xf numFmtId="177" fontId="1" fillId="0" borderId="0" applyAlignment="1" pivotButton="0" quotePrefix="0" xfId="0">
      <alignment horizontal="left" vertical="center"/>
    </xf>
    <xf numFmtId="0" fontId="1" fillId="0" borderId="35" applyAlignment="1" pivotButton="0" quotePrefix="0" xfId="0">
      <alignment horizontal="right" vertical="center"/>
    </xf>
    <xf numFmtId="0" fontId="36" fillId="0" borderId="36" applyAlignment="1" pivotButton="0" quotePrefix="0" xfId="0">
      <alignment vertical="center"/>
    </xf>
    <xf numFmtId="2" fontId="32" fillId="0" borderId="37" applyAlignment="1" pivotButton="0" quotePrefix="0" xfId="0">
      <alignment horizontal="center" vertical="center"/>
    </xf>
    <xf numFmtId="177" fontId="36" fillId="0" borderId="0" applyAlignment="1" pivotButton="0" quotePrefix="0" xfId="0">
      <alignment horizontal="left" vertical="center"/>
    </xf>
    <xf numFmtId="0" fontId="1" fillId="0" borderId="36" applyAlignment="1" pivotButton="0" quotePrefix="0" xfId="0">
      <alignment horizontal="left" vertical="center"/>
    </xf>
    <xf numFmtId="0" fontId="36" fillId="0" borderId="36" applyAlignment="1" pivotButton="0" quotePrefix="0" xfId="0">
      <alignment horizontal="left" vertical="center"/>
    </xf>
    <xf numFmtId="2" fontId="32" fillId="3" borderId="39" applyAlignment="1" pivotButton="0" quotePrefix="0" xfId="0">
      <alignment horizontal="center" vertical="center"/>
    </xf>
    <xf numFmtId="2" fontId="32" fillId="3" borderId="40" applyAlignment="1" pivotButton="0" quotePrefix="0" xfId="0">
      <alignment horizontal="center" vertical="center"/>
    </xf>
    <xf numFmtId="2" fontId="32" fillId="3" borderId="2" applyAlignment="1" pivotButton="0" quotePrefix="0" xfId="0">
      <alignment horizontal="center" vertical="center"/>
    </xf>
    <xf numFmtId="0" fontId="1" fillId="0" borderId="35" applyAlignment="1" pivotButton="0" quotePrefix="0" xfId="0">
      <alignment horizontal="left" vertical="center"/>
    </xf>
    <xf numFmtId="0" fontId="32" fillId="0" borderId="36" applyAlignment="1" pivotButton="0" quotePrefix="0" xfId="0">
      <alignment horizontal="left" vertical="center"/>
    </xf>
    <xf numFmtId="0" fontId="2" fillId="0" borderId="36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1" fillId="0" borderId="20" applyAlignment="1" pivotButton="0" quotePrefix="0" xfId="0">
      <alignment horizontal="right" vertical="center"/>
    </xf>
    <xf numFmtId="0" fontId="2" fillId="0" borderId="35" applyAlignment="1" pivotButton="0" quotePrefix="0" xfId="0">
      <alignment horizontal="right" vertical="center"/>
    </xf>
    <xf numFmtId="0" fontId="9" fillId="0" borderId="67" applyAlignment="1" pivotButton="0" quotePrefix="0" xfId="0">
      <alignment horizontal="center" vertical="center"/>
    </xf>
    <xf numFmtId="0" fontId="9" fillId="0" borderId="41" applyAlignment="1" pivotButton="0" quotePrefix="0" xfId="0">
      <alignment vertical="center"/>
    </xf>
    <xf numFmtId="0" fontId="9" fillId="0" borderId="42" applyAlignment="1" pivotButton="0" quotePrefix="0" xfId="0">
      <alignment vertical="center"/>
    </xf>
    <xf numFmtId="0" fontId="37" fillId="0" borderId="42" applyAlignment="1" pivotButton="0" quotePrefix="0" xfId="0">
      <alignment horizontal="left" vertical="center"/>
    </xf>
    <xf numFmtId="0" fontId="37" fillId="0" borderId="43" applyAlignment="1" pivotButton="0" quotePrefix="0" xfId="0">
      <alignment horizontal="left" vertical="center"/>
    </xf>
    <xf numFmtId="2" fontId="29" fillId="0" borderId="44" applyAlignment="1" pivotButton="0" quotePrefix="0" xfId="0">
      <alignment horizontal="center" vertical="center"/>
    </xf>
    <xf numFmtId="2" fontId="29" fillId="0" borderId="45" applyAlignment="1" pivotButton="0" quotePrefix="0" xfId="0">
      <alignment horizontal="center" vertical="center"/>
    </xf>
    <xf numFmtId="2" fontId="3" fillId="0" borderId="46" applyAlignment="1" pivotButton="0" quotePrefix="0" xfId="0">
      <alignment horizontal="center" vertical="center"/>
    </xf>
    <xf numFmtId="2" fontId="3" fillId="0" borderId="47" applyAlignment="1" pivotButton="0" quotePrefix="0" xfId="0">
      <alignment horizontal="center" vertical="center"/>
    </xf>
    <xf numFmtId="2" fontId="3" fillId="0" borderId="48" applyAlignment="1" pivotButton="0" quotePrefix="0" xfId="0">
      <alignment horizontal="center" vertical="center"/>
    </xf>
    <xf numFmtId="2" fontId="3" fillId="0" borderId="49" applyAlignment="1" pivotButton="0" quotePrefix="0" xfId="0">
      <alignment horizontal="center" vertical="center"/>
    </xf>
    <xf numFmtId="2" fontId="3" fillId="0" borderId="50" applyAlignment="1" pivotButton="0" quotePrefix="0" xfId="0">
      <alignment horizontal="center" vertical="center"/>
    </xf>
    <xf numFmtId="2" fontId="3" fillId="0" borderId="51" applyAlignment="1" pivotButton="0" quotePrefix="0" xfId="0">
      <alignment horizontal="center" vertical="center"/>
    </xf>
    <xf numFmtId="2" fontId="3" fillId="0" borderId="52" applyAlignment="1" pivotButton="0" quotePrefix="0" xfId="0">
      <alignment horizontal="center" vertical="center"/>
    </xf>
    <xf numFmtId="177" fontId="37" fillId="0" borderId="0" applyAlignment="1" pivotButton="0" quotePrefix="0" xfId="0">
      <alignment horizontal="left" vertical="center"/>
    </xf>
    <xf numFmtId="2" fontId="29" fillId="0" borderId="54" applyAlignment="1" pivotButton="0" quotePrefix="0" xfId="0">
      <alignment horizontal="center" vertical="center"/>
    </xf>
    <xf numFmtId="2" fontId="29" fillId="0" borderId="55" applyAlignment="1" pivotButton="0" quotePrefix="0" xfId="0">
      <alignment horizontal="center" vertical="center"/>
    </xf>
    <xf numFmtId="0" fontId="9" fillId="3" borderId="56" applyAlignment="1" pivotButton="0" quotePrefix="0" xfId="0">
      <alignment horizontal="center" vertical="center"/>
    </xf>
    <xf numFmtId="0" fontId="9" fillId="3" borderId="9" applyAlignment="1" pivotButton="0" quotePrefix="0" xfId="0">
      <alignment horizontal="center" vertical="center"/>
    </xf>
    <xf numFmtId="0" fontId="9" fillId="3" borderId="57" applyAlignment="1" pivotButton="0" quotePrefix="0" xfId="0">
      <alignment horizontal="center" vertical="center"/>
    </xf>
    <xf numFmtId="0" fontId="9" fillId="3" borderId="58" applyAlignment="1" pivotButton="0" quotePrefix="0" xfId="0">
      <alignment horizontal="center" vertical="center"/>
    </xf>
    <xf numFmtId="0" fontId="34" fillId="0" borderId="59" applyAlignment="1" pivotButton="0" quotePrefix="0" xfId="28">
      <alignment vertical="center"/>
    </xf>
    <xf numFmtId="0" fontId="34" fillId="0" borderId="60" applyAlignment="1" pivotButton="0" quotePrefix="0" xfId="28">
      <alignment vertical="center"/>
    </xf>
    <xf numFmtId="2" fontId="34" fillId="0" borderId="60" applyAlignment="1" pivotButton="0" quotePrefix="0" xfId="28">
      <alignment vertical="center"/>
    </xf>
    <xf numFmtId="2" fontId="8" fillId="3" borderId="32" applyAlignment="1" pivotButton="0" quotePrefix="0" xfId="0">
      <alignment horizontal="center" vertical="center"/>
    </xf>
    <xf numFmtId="0" fontId="34" fillId="0" borderId="45" applyAlignment="1" pivotButton="0" quotePrefix="0" xfId="28">
      <alignment vertical="center"/>
    </xf>
    <xf numFmtId="0" fontId="34" fillId="0" borderId="25" applyAlignment="1" pivotButton="0" quotePrefix="0" xfId="28">
      <alignment vertical="center"/>
    </xf>
    <xf numFmtId="2" fontId="38" fillId="0" borderId="25" applyAlignment="1" pivotButton="0" quotePrefix="0" xfId="28">
      <alignment vertical="center"/>
    </xf>
    <xf numFmtId="0" fontId="38" fillId="0" borderId="25" applyAlignment="1" pivotButton="0" quotePrefix="0" xfId="28">
      <alignment vertical="center"/>
    </xf>
    <xf numFmtId="2" fontId="34" fillId="3" borderId="49" applyAlignment="1" pivotButton="0" quotePrefix="0" xfId="0">
      <alignment horizontal="center" vertical="center"/>
    </xf>
    <xf numFmtId="0" fontId="39" fillId="0" borderId="59" applyAlignment="1" pivotButton="0" quotePrefix="0" xfId="28">
      <alignment vertical="center"/>
    </xf>
    <xf numFmtId="0" fontId="37" fillId="0" borderId="60" applyAlignment="1" pivotButton="0" quotePrefix="0" xfId="28">
      <alignment vertical="center"/>
    </xf>
    <xf numFmtId="2" fontId="37" fillId="0" borderId="60" applyAlignment="1" pivotButton="0" quotePrefix="0" xfId="28">
      <alignment vertical="center"/>
    </xf>
    <xf numFmtId="0" fontId="37" fillId="0" borderId="0" applyAlignment="1" pivotButton="0" quotePrefix="0" xfId="28">
      <alignment vertical="center"/>
    </xf>
    <xf numFmtId="2" fontId="37" fillId="0" borderId="31" applyAlignment="1" pivotButton="0" quotePrefix="0" xfId="0">
      <alignment horizontal="center" vertical="center"/>
    </xf>
    <xf numFmtId="2" fontId="37" fillId="0" borderId="24" applyAlignment="1" pivotButton="0" quotePrefix="0" xfId="0">
      <alignment horizontal="center" vertical="center"/>
    </xf>
    <xf numFmtId="2" fontId="37" fillId="0" borderId="38" applyAlignment="1" pivotButton="0" quotePrefix="0" xfId="0">
      <alignment horizontal="center" vertical="center"/>
    </xf>
    <xf numFmtId="0" fontId="37" fillId="0" borderId="0" applyAlignment="1" pivotButton="0" quotePrefix="0" xfId="0">
      <alignment horizontal="left" vertical="center"/>
    </xf>
    <xf numFmtId="0" fontId="39" fillId="0" borderId="45" applyAlignment="1" pivotButton="0" quotePrefix="0" xfId="28">
      <alignment vertical="center"/>
    </xf>
    <xf numFmtId="0" fontId="37" fillId="0" borderId="25" applyAlignment="1" pivotButton="0" quotePrefix="0" xfId="28">
      <alignment vertical="center"/>
    </xf>
    <xf numFmtId="2" fontId="37" fillId="0" borderId="25" applyAlignment="1" pivotButton="0" quotePrefix="0" xfId="28">
      <alignment vertical="center"/>
    </xf>
    <xf numFmtId="0" fontId="40" fillId="0" borderId="25" applyAlignment="1" pivotButton="0" quotePrefix="0" xfId="28">
      <alignment vertical="center"/>
    </xf>
    <xf numFmtId="2" fontId="37" fillId="0" borderId="49" applyAlignment="1" pivotButton="0" quotePrefix="0" xfId="0">
      <alignment horizontal="center" vertical="center"/>
    </xf>
    <xf numFmtId="2" fontId="37" fillId="0" borderId="50" applyAlignment="1" pivotButton="0" quotePrefix="0" xfId="0">
      <alignment horizontal="center" vertical="center"/>
    </xf>
    <xf numFmtId="2" fontId="37" fillId="0" borderId="51" applyAlignment="1" pivotButton="0" quotePrefix="0" xfId="0">
      <alignment horizontal="center" vertical="center"/>
    </xf>
    <xf numFmtId="0" fontId="8" fillId="0" borderId="59" applyAlignment="1" pivotButton="0" quotePrefix="0" xfId="28">
      <alignment vertical="center"/>
    </xf>
    <xf numFmtId="0" fontId="40" fillId="0" borderId="60" applyAlignment="1" pivotButton="0" quotePrefix="0" xfId="28">
      <alignment vertical="center"/>
    </xf>
    <xf numFmtId="2" fontId="37" fillId="0" borderId="32" applyAlignment="1" pivotButton="0" quotePrefix="0" xfId="0">
      <alignment horizontal="center" vertical="center"/>
    </xf>
    <xf numFmtId="2" fontId="37" fillId="0" borderId="33" applyAlignment="1" pivotButton="0" quotePrefix="0" xfId="0">
      <alignment horizontal="center" vertical="center"/>
    </xf>
    <xf numFmtId="2" fontId="37" fillId="0" borderId="34" applyAlignment="1" pivotButton="0" quotePrefix="0" xfId="0">
      <alignment horizontal="center" vertical="center"/>
    </xf>
    <xf numFmtId="0" fontId="8" fillId="0" borderId="45" applyAlignment="1" pivotButton="0" quotePrefix="0" xfId="28">
      <alignment vertical="center"/>
    </xf>
    <xf numFmtId="0" fontId="37" fillId="0" borderId="53" applyAlignment="1" pivotButton="0" quotePrefix="0" xfId="0">
      <alignment horizontal="center" vertical="center"/>
    </xf>
    <xf numFmtId="2" fontId="37" fillId="0" borderId="0" applyAlignment="1" pivotButton="0" quotePrefix="0" xfId="28">
      <alignment vertical="center"/>
    </xf>
    <xf numFmtId="0" fontId="40" fillId="0" borderId="0" applyAlignment="1" pivotButton="0" quotePrefix="0" xfId="28">
      <alignment vertical="center"/>
    </xf>
    <xf numFmtId="2" fontId="37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4" fontId="41" fillId="0" borderId="0" applyAlignment="1" pivotButton="0" quotePrefix="0" xfId="0">
      <alignment vertical="center"/>
    </xf>
    <xf numFmtId="0" fontId="41" fillId="0" borderId="0" applyAlignment="1" pivotButton="0" quotePrefix="0" xfId="0">
      <alignment horizontal="left" vertical="center"/>
    </xf>
    <xf numFmtId="2" fontId="19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41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4" fontId="33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41" fillId="0" borderId="0" applyAlignment="1" pivotButton="0" quotePrefix="0" xfId="28">
      <alignment vertical="center"/>
    </xf>
    <xf numFmtId="2" fontId="41" fillId="0" borderId="0" applyAlignment="1" pivotButton="0" quotePrefix="0" xfId="28">
      <alignment vertical="center"/>
    </xf>
    <xf numFmtId="0" fontId="41" fillId="0" borderId="0" applyAlignment="1" pivotButton="0" quotePrefix="0" xfId="28">
      <alignment horizontal="center" vertical="center"/>
    </xf>
    <xf numFmtId="16" fontId="41" fillId="0" borderId="0" applyAlignment="1" pivotButton="0" quotePrefix="0" xfId="28">
      <alignment vertical="center"/>
    </xf>
    <xf numFmtId="0" fontId="19" fillId="0" borderId="0" applyAlignment="1" pivotButton="0" quotePrefix="0" xfId="28">
      <alignment vertical="center"/>
    </xf>
    <xf numFmtId="2" fontId="19" fillId="0" borderId="0" applyAlignment="1" pivotButton="0" quotePrefix="0" xfId="28">
      <alignment vertical="center"/>
    </xf>
    <xf numFmtId="0" fontId="19" fillId="0" borderId="0" applyAlignment="1" pivotButton="0" quotePrefix="0" xfId="28">
      <alignment horizontal="center" vertical="center"/>
    </xf>
    <xf numFmtId="0" fontId="42" fillId="0" borderId="0" applyAlignment="1" pivotButton="0" quotePrefix="0" xfId="0">
      <alignment horizontal="left" vertical="center"/>
    </xf>
    <xf numFmtId="4" fontId="43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4" fontId="29" fillId="0" borderId="0" applyAlignment="1" pivotButton="0" quotePrefix="0" xfId="0">
      <alignment vertical="center"/>
    </xf>
    <xf numFmtId="0" fontId="29" fillId="0" borderId="0" applyAlignment="1" pivotButton="0" quotePrefix="0" xfId="28">
      <alignment vertical="center"/>
    </xf>
    <xf numFmtId="2" fontId="29" fillId="0" borderId="0" applyAlignment="1" pivotButton="0" quotePrefix="0" xfId="28">
      <alignment vertical="center"/>
    </xf>
    <xf numFmtId="0" fontId="29" fillId="0" borderId="0" applyAlignment="1" pivotButton="0" quotePrefix="0" xfId="28">
      <alignment horizontal="center" vertical="center"/>
    </xf>
    <xf numFmtId="0" fontId="9" fillId="0" borderId="0" applyAlignment="1" pivotButton="0" quotePrefix="0" xfId="0">
      <alignment vertical="center" wrapText="1"/>
    </xf>
    <xf numFmtId="0" fontId="44" fillId="0" borderId="0" applyAlignment="1" pivotButton="0" quotePrefix="0" xfId="0">
      <alignment horizontal="left" vertical="center"/>
    </xf>
    <xf numFmtId="2" fontId="8" fillId="3" borderId="33" applyAlignment="1" pivotButton="0" quotePrefix="0" xfId="0">
      <alignment horizontal="center" vertical="center"/>
    </xf>
    <xf numFmtId="2" fontId="8" fillId="3" borderId="34" applyAlignment="1" pivotButton="0" quotePrefix="0" xfId="0">
      <alignment horizontal="center" vertical="center"/>
    </xf>
    <xf numFmtId="2" fontId="34" fillId="3" borderId="50" applyAlignment="1" pivotButton="0" quotePrefix="0" xfId="0">
      <alignment horizontal="center" vertical="center"/>
    </xf>
    <xf numFmtId="2" fontId="34" fillId="3" borderId="51" applyAlignment="1" pivotButton="0" quotePrefix="0" xfId="0">
      <alignment horizontal="center" vertical="center"/>
    </xf>
    <xf numFmtId="0" fontId="29" fillId="0" borderId="61" applyAlignment="1" pivotButton="0" quotePrefix="0" xfId="0">
      <alignment horizontal="center" vertical="center"/>
    </xf>
    <xf numFmtId="0" fontId="32" fillId="0" borderId="61" applyAlignment="1" pivotButton="0" quotePrefix="0" xfId="0">
      <alignment horizontal="center" vertical="center"/>
    </xf>
    <xf numFmtId="9" fontId="32" fillId="0" borderId="61" applyAlignment="1" pivotButton="0" quotePrefix="0" xfId="29">
      <alignment horizontal="center" vertical="center"/>
    </xf>
    <xf numFmtId="9" fontId="36" fillId="0" borderId="61" applyAlignment="1" pivotButton="0" quotePrefix="0" xfId="29">
      <alignment horizontal="center" vertical="center"/>
    </xf>
    <xf numFmtId="0" fontId="36" fillId="0" borderId="61" applyAlignment="1" pivotButton="0" quotePrefix="0" xfId="0">
      <alignment horizontal="center" vertical="center"/>
    </xf>
    <xf numFmtId="0" fontId="37" fillId="0" borderId="61" applyAlignment="1" pivotButton="0" quotePrefix="0" xfId="0">
      <alignment horizontal="center" vertical="center"/>
    </xf>
    <xf numFmtId="0" fontId="29" fillId="3" borderId="62" applyAlignment="1" pivotButton="0" quotePrefix="0" xfId="0">
      <alignment horizontal="center" vertical="center"/>
    </xf>
    <xf numFmtId="2" fontId="32" fillId="3" borderId="23" applyAlignment="1" pivotButton="0" quotePrefix="0" xfId="0">
      <alignment horizontal="center" vertical="center"/>
    </xf>
    <xf numFmtId="2" fontId="3" fillId="0" borderId="63" applyAlignment="1" pivotButton="0" quotePrefix="0" xfId="0">
      <alignment horizontal="center" vertical="center"/>
    </xf>
    <xf numFmtId="0" fontId="35" fillId="0" borderId="40" applyAlignment="1" pivotButton="0" quotePrefix="0" xfId="0">
      <alignment horizontal="center" vertical="center"/>
    </xf>
    <xf numFmtId="0" fontId="35" fillId="0" borderId="2" applyAlignment="1" pivotButton="0" quotePrefix="0" xfId="0">
      <alignment horizontal="center" vertical="center"/>
    </xf>
    <xf numFmtId="0" fontId="35" fillId="0" borderId="19" applyAlignment="1" pivotButton="0" quotePrefix="0" xfId="0">
      <alignment horizontal="center" vertical="center"/>
    </xf>
    <xf numFmtId="0" fontId="35" fillId="0" borderId="39" applyAlignment="1" pivotButton="0" quotePrefix="0" xfId="0">
      <alignment horizontal="center" vertical="center"/>
    </xf>
    <xf numFmtId="0" fontId="35" fillId="0" borderId="13" applyAlignment="1" pivotButton="0" quotePrefix="0" xfId="0">
      <alignment horizontal="center" vertical="center"/>
    </xf>
    <xf numFmtId="0" fontId="29" fillId="0" borderId="46" applyAlignment="1" pivotButton="0" quotePrefix="1" xfId="0">
      <alignment horizontal="center" vertical="center" wrapText="1"/>
    </xf>
    <xf numFmtId="0" fontId="29" fillId="0" borderId="47" applyAlignment="1" pivotButton="0" quotePrefix="1" xfId="0">
      <alignment horizontal="center" vertical="center" wrapText="1"/>
    </xf>
    <xf numFmtId="0" fontId="29" fillId="0" borderId="48" applyAlignment="1" pivotButton="0" quotePrefix="1" xfId="0">
      <alignment horizontal="center" vertical="center" wrapText="1"/>
    </xf>
    <xf numFmtId="0" fontId="29" fillId="0" borderId="52" applyAlignment="1" pivotButton="0" quotePrefix="1" xfId="0">
      <alignment horizontal="center" vertical="center" wrapText="1"/>
    </xf>
    <xf numFmtId="0" fontId="29" fillId="0" borderId="63" applyAlignment="1" pivotButton="0" quotePrefix="1" xfId="0">
      <alignment horizontal="center" vertical="center" wrapText="1"/>
    </xf>
    <xf numFmtId="0" fontId="4" fillId="0" borderId="0" applyAlignment="1" pivotButton="0" quotePrefix="0" xfId="14">
      <alignment horizontal="left"/>
    </xf>
    <xf numFmtId="166" fontId="4" fillId="0" borderId="5" applyAlignment="1" pivotButton="0" quotePrefix="0" xfId="14">
      <alignment horizontal="center" vertical="center" wrapText="1" shrinkToFit="1"/>
    </xf>
    <xf numFmtId="166" fontId="4" fillId="0" borderId="9" applyAlignment="1" pivotButton="0" quotePrefix="0" xfId="14">
      <alignment horizontal="center" vertical="center" wrapText="1" shrinkToFit="1"/>
    </xf>
    <xf numFmtId="166" fontId="4" fillId="0" borderId="1" applyAlignment="1" pivotButton="0" quotePrefix="0" xfId="14">
      <alignment horizontal="center" vertical="center" wrapText="1" shrinkToFit="1"/>
    </xf>
    <xf numFmtId="166" fontId="4" fillId="0" borderId="14" applyAlignment="1" pivotButton="0" quotePrefix="0" xfId="14">
      <alignment horizontal="center" vertical="center" wrapText="1" shrinkToFit="1"/>
    </xf>
    <xf numFmtId="166" fontId="4" fillId="0" borderId="15" applyAlignment="1" pivotButton="0" quotePrefix="0" xfId="14">
      <alignment horizontal="center" vertical="center" wrapText="1" shrinkToFit="1"/>
    </xf>
    <xf numFmtId="166" fontId="4" fillId="0" borderId="10" applyAlignment="1" pivotButton="0" quotePrefix="0" xfId="14">
      <alignment horizontal="center" vertical="center" wrapText="1" shrinkToFit="1"/>
    </xf>
    <xf numFmtId="166" fontId="4" fillId="0" borderId="0" applyAlignment="1" pivotButton="0" quotePrefix="0" xfId="14">
      <alignment horizontal="center" vertical="center" wrapText="1" shrinkToFit="1"/>
    </xf>
    <xf numFmtId="166" fontId="4" fillId="0" borderId="11" applyAlignment="1" pivotButton="0" quotePrefix="0" xfId="14">
      <alignment horizontal="center" vertical="center" wrapText="1" shrinkToFit="1"/>
    </xf>
    <xf numFmtId="43" fontId="4" fillId="0" borderId="15" applyAlignment="1" pivotButton="0" quotePrefix="0" xfId="14">
      <alignment horizontal="center" vertical="center" shrinkToFit="1"/>
    </xf>
    <xf numFmtId="43" fontId="4" fillId="0" borderId="11" applyAlignment="1" pivotButton="0" quotePrefix="0" xfId="14">
      <alignment horizontal="center" vertical="center" shrinkToFit="1"/>
    </xf>
    <xf numFmtId="170" fontId="4" fillId="0" borderId="1" applyAlignment="1" pivotButton="0" quotePrefix="0" xfId="12">
      <alignment horizontal="center" shrinkToFit="1"/>
    </xf>
    <xf numFmtId="170" fontId="4" fillId="0" borderId="14" applyAlignment="1" pivotButton="0" quotePrefix="0" xfId="12">
      <alignment horizontal="center" shrinkToFit="1"/>
    </xf>
    <xf numFmtId="170" fontId="4" fillId="0" borderId="15" applyAlignment="1" pivotButton="0" quotePrefix="0" xfId="12">
      <alignment horizontal="center" shrinkToFit="1"/>
    </xf>
    <xf numFmtId="174" fontId="4" fillId="0" borderId="1" applyAlignment="1" pivotButton="0" quotePrefix="0" xfId="12">
      <alignment horizontal="center" vertical="center"/>
    </xf>
    <xf numFmtId="174" fontId="4" fillId="0" borderId="15" applyAlignment="1" pivotButton="0" quotePrefix="0" xfId="12">
      <alignment horizontal="center" vertical="center"/>
    </xf>
    <xf numFmtId="174" fontId="4" fillId="0" borderId="2" applyAlignment="1" pivotButton="0" quotePrefix="0" xfId="12">
      <alignment horizontal="center" shrinkToFit="1"/>
    </xf>
    <xf numFmtId="170" fontId="4" fillId="0" borderId="2" applyAlignment="1" pivotButton="0" quotePrefix="0" xfId="12">
      <alignment horizontal="center" shrinkToFit="1"/>
    </xf>
    <xf numFmtId="174" fontId="4" fillId="0" borderId="22" applyAlignment="1" pivotButton="0" quotePrefix="0" xfId="12">
      <alignment horizontal="center" vertical="center"/>
    </xf>
    <xf numFmtId="174" fontId="4" fillId="0" borderId="23" applyAlignment="1" pivotButton="0" quotePrefix="0" xfId="12">
      <alignment horizontal="center" vertical="center"/>
    </xf>
    <xf numFmtId="0" fontId="18" fillId="0" borderId="0" applyAlignment="1" pivotButton="0" quotePrefix="0" xfId="0">
      <alignment horizontal="center" vertical="center"/>
    </xf>
    <xf numFmtId="15" fontId="8" fillId="0" borderId="0" applyAlignment="1" pivotButton="0" quotePrefix="1" xfId="0">
      <alignment horizontal="left" vertical="center"/>
    </xf>
    <xf numFmtId="15" fontId="8" fillId="0" borderId="0" applyAlignment="1" pivotButton="0" quotePrefix="0" xfId="0">
      <alignment horizontal="left" vertical="center"/>
    </xf>
    <xf numFmtId="165" fontId="8" fillId="0" borderId="9" applyAlignment="1" pivotButton="0" quotePrefix="0" xfId="12">
      <alignment horizontal="center" vertical="center" wrapText="1"/>
    </xf>
    <xf numFmtId="165" fontId="8" fillId="0" borderId="24" applyAlignment="1" pivotButton="0" quotePrefix="0" xfId="12">
      <alignment horizontal="center" vertical="center" wrapText="1"/>
    </xf>
    <xf numFmtId="0" fontId="8" fillId="0" borderId="9" applyAlignment="1" pivotButton="0" quotePrefix="0" xfId="27">
      <alignment horizontal="center" vertical="center"/>
    </xf>
    <xf numFmtId="0" fontId="8" fillId="0" borderId="24" applyAlignment="1" pivotButton="0" quotePrefix="0" xfId="27">
      <alignment horizontal="center" vertical="center"/>
    </xf>
    <xf numFmtId="0" fontId="8" fillId="0" borderId="1" applyAlignment="1" pivotButton="0" quotePrefix="0" xfId="27">
      <alignment horizontal="center" vertical="center"/>
    </xf>
    <xf numFmtId="0" fontId="8" fillId="0" borderId="14" applyAlignment="1" pivotButton="0" quotePrefix="0" xfId="27">
      <alignment horizontal="center" vertical="center"/>
    </xf>
    <xf numFmtId="0" fontId="8" fillId="0" borderId="15" applyAlignment="1" pivotButton="0" quotePrefix="0" xfId="27">
      <alignment horizontal="center" vertical="center"/>
    </xf>
    <xf numFmtId="0" fontId="8" fillId="0" borderId="22" applyAlignment="1" pivotButton="0" quotePrefix="0" xfId="27">
      <alignment horizontal="center" vertical="center"/>
    </xf>
    <xf numFmtId="0" fontId="8" fillId="0" borderId="8" applyAlignment="1" pivotButton="0" quotePrefix="0" xfId="27">
      <alignment horizontal="center" vertical="center"/>
    </xf>
    <xf numFmtId="0" fontId="8" fillId="0" borderId="23" applyAlignment="1" pivotButton="0" quotePrefix="0" xfId="27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12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0" xfId="27">
      <alignment horizontal="left" vertical="center"/>
    </xf>
    <xf numFmtId="0" fontId="8" fillId="0" borderId="19" applyAlignment="1" pivotButton="0" quotePrefix="0" xfId="27">
      <alignment horizontal="center" vertical="center"/>
    </xf>
    <xf numFmtId="0" fontId="8" fillId="0" borderId="20" applyAlignment="1" pivotButton="0" quotePrefix="0" xfId="27">
      <alignment horizontal="center" vertical="center"/>
    </xf>
    <xf numFmtId="0" fontId="8" fillId="0" borderId="13" applyAlignment="1" pivotButton="0" quotePrefix="0" xfId="27">
      <alignment horizontal="center" vertical="center"/>
    </xf>
    <xf numFmtId="0" fontId="14" fillId="0" borderId="0" applyAlignment="1" pivotButton="0" quotePrefix="0" xfId="0">
      <alignment horizontal="left" vertical="center"/>
    </xf>
    <xf numFmtId="43" fontId="8" fillId="0" borderId="5" applyAlignment="1" pivotButton="0" quotePrefix="0" xfId="13">
      <alignment horizontal="center" vertical="center" wrapText="1" shrinkToFit="1"/>
    </xf>
    <xf numFmtId="43" fontId="8" fillId="0" borderId="9" applyAlignment="1" pivotButton="0" quotePrefix="0" xfId="13">
      <alignment horizontal="center" vertical="center" wrapText="1" shrinkToFit="1"/>
    </xf>
    <xf numFmtId="43" fontId="8" fillId="0" borderId="24" applyAlignment="1" pivotButton="0" quotePrefix="0" xfId="13">
      <alignment horizontal="center" vertical="center" wrapText="1" shrinkToFit="1"/>
    </xf>
    <xf numFmtId="0" fontId="10" fillId="0" borderId="0" applyAlignment="1" pivotButton="0" quotePrefix="0" xfId="13">
      <alignment horizontal="center" vertical="center"/>
    </xf>
    <xf numFmtId="166" fontId="2" fillId="0" borderId="5" applyAlignment="1" pivotButton="0" quotePrefix="0" xfId="13">
      <alignment horizontal="center" vertical="center" wrapText="1" shrinkToFit="1"/>
    </xf>
    <xf numFmtId="166" fontId="2" fillId="0" borderId="9" applyAlignment="1" pivotButton="0" quotePrefix="0" xfId="13">
      <alignment horizontal="center" vertical="center" wrapText="1" shrinkToFit="1"/>
    </xf>
    <xf numFmtId="166" fontId="2" fillId="0" borderId="24" applyAlignment="1" pivotButton="0" quotePrefix="0" xfId="13">
      <alignment horizontal="center" vertical="center" wrapText="1" shrinkToFit="1"/>
    </xf>
    <xf numFmtId="41" fontId="8" fillId="0" borderId="19" applyAlignment="1" pivotButton="0" quotePrefix="0" xfId="2">
      <alignment horizontal="center" vertical="center"/>
    </xf>
    <xf numFmtId="41" fontId="8" fillId="0" borderId="20" applyAlignment="1" pivotButton="0" quotePrefix="0" xfId="2">
      <alignment horizontal="center" vertical="center"/>
    </xf>
    <xf numFmtId="41" fontId="8" fillId="0" borderId="13" applyAlignment="1" pivotButton="0" quotePrefix="0" xfId="2">
      <alignment horizontal="center" vertical="center"/>
    </xf>
    <xf numFmtId="166" fontId="2" fillId="0" borderId="1" applyAlignment="1" pivotButton="0" quotePrefix="0" xfId="13">
      <alignment horizontal="center" vertical="center" wrapText="1" shrinkToFit="1"/>
    </xf>
    <xf numFmtId="166" fontId="2" fillId="0" borderId="14" applyAlignment="1" pivotButton="0" quotePrefix="0" xfId="13">
      <alignment horizontal="center" vertical="center" wrapText="1" shrinkToFit="1"/>
    </xf>
    <xf numFmtId="166" fontId="2" fillId="0" borderId="15" applyAlignment="1" pivotButton="0" quotePrefix="0" xfId="13">
      <alignment horizontal="center" vertical="center" wrapText="1" shrinkToFit="1"/>
    </xf>
    <xf numFmtId="166" fontId="2" fillId="0" borderId="10" applyAlignment="1" pivotButton="0" quotePrefix="0" xfId="13">
      <alignment horizontal="center" vertical="center" wrapText="1" shrinkToFit="1"/>
    </xf>
    <xf numFmtId="166" fontId="2" fillId="0" borderId="0" applyAlignment="1" pivotButton="0" quotePrefix="0" xfId="13">
      <alignment horizontal="center" vertical="center" wrapText="1" shrinkToFit="1"/>
    </xf>
    <xf numFmtId="166" fontId="2" fillId="0" borderId="11" applyAlignment="1" pivotButton="0" quotePrefix="0" xfId="13">
      <alignment horizontal="center" vertical="center" wrapText="1" shrinkToFit="1"/>
    </xf>
    <xf numFmtId="166" fontId="2" fillId="0" borderId="22" applyAlignment="1" pivotButton="0" quotePrefix="0" xfId="13">
      <alignment horizontal="center" vertical="center" wrapText="1" shrinkToFit="1"/>
    </xf>
    <xf numFmtId="166" fontId="2" fillId="0" borderId="8" applyAlignment="1" pivotButton="0" quotePrefix="0" xfId="13">
      <alignment horizontal="center" vertical="center" wrapText="1" shrinkToFit="1"/>
    </xf>
    <xf numFmtId="166" fontId="2" fillId="0" borderId="23" applyAlignment="1" pivotButton="0" quotePrefix="0" xfId="13">
      <alignment horizontal="center" vertical="center" wrapText="1" shrinkToFit="1"/>
    </xf>
    <xf numFmtId="0" fontId="9" fillId="0" borderId="8" applyAlignment="1" pivotButton="0" quotePrefix="0" xfId="13">
      <alignment horizontal="center"/>
    </xf>
    <xf numFmtId="166" fontId="8" fillId="0" borderId="5" applyAlignment="1" pivotButton="0" quotePrefix="0" xfId="13">
      <alignment horizontal="center" vertical="center" wrapText="1" shrinkToFit="1"/>
    </xf>
    <xf numFmtId="166" fontId="8" fillId="0" borderId="9" applyAlignment="1" pivotButton="0" quotePrefix="0" xfId="13">
      <alignment horizontal="center" vertical="center" wrapText="1" shrinkToFit="1"/>
    </xf>
    <xf numFmtId="166" fontId="8" fillId="0" borderId="24" applyAlignment="1" pivotButton="0" quotePrefix="0" xfId="13">
      <alignment horizontal="center" vertical="center" wrapText="1" shrinkToFit="1"/>
    </xf>
    <xf numFmtId="166" fontId="8" fillId="0" borderId="1" applyAlignment="1" pivotButton="0" quotePrefix="0" xfId="13">
      <alignment horizontal="center" vertical="center" wrapText="1" shrinkToFit="1"/>
    </xf>
    <xf numFmtId="166" fontId="8" fillId="0" borderId="14" applyAlignment="1" pivotButton="0" quotePrefix="0" xfId="13">
      <alignment horizontal="center" vertical="center" wrapText="1" shrinkToFit="1"/>
    </xf>
    <xf numFmtId="166" fontId="8" fillId="0" borderId="15" applyAlignment="1" pivotButton="0" quotePrefix="0" xfId="13">
      <alignment horizontal="center" vertical="center" wrapText="1" shrinkToFit="1"/>
    </xf>
    <xf numFmtId="166" fontId="8" fillId="0" borderId="10" applyAlignment="1" pivotButton="0" quotePrefix="0" xfId="13">
      <alignment horizontal="center" vertical="center" wrapText="1" shrinkToFit="1"/>
    </xf>
    <xf numFmtId="166" fontId="8" fillId="0" borderId="0" applyAlignment="1" pivotButton="0" quotePrefix="0" xfId="13">
      <alignment horizontal="center" vertical="center" wrapText="1" shrinkToFit="1"/>
    </xf>
    <xf numFmtId="166" fontId="8" fillId="0" borderId="11" applyAlignment="1" pivotButton="0" quotePrefix="0" xfId="13">
      <alignment horizontal="center" vertical="center" wrapText="1" shrinkToFit="1"/>
    </xf>
    <xf numFmtId="166" fontId="8" fillId="0" borderId="22" applyAlignment="1" pivotButton="0" quotePrefix="0" xfId="13">
      <alignment horizontal="center" vertical="center" wrapText="1" shrinkToFit="1"/>
    </xf>
    <xf numFmtId="166" fontId="8" fillId="0" borderId="8" applyAlignment="1" pivotButton="0" quotePrefix="0" xfId="13">
      <alignment horizontal="center" vertical="center" wrapText="1" shrinkToFit="1"/>
    </xf>
    <xf numFmtId="166" fontId="8" fillId="0" borderId="23" applyAlignment="1" pivotButton="0" quotePrefix="0" xfId="13">
      <alignment horizontal="center" vertical="center" wrapText="1" shrinkToFit="1"/>
    </xf>
    <xf numFmtId="17" fontId="45" fillId="0" borderId="27" applyAlignment="1" pivotButton="0" quotePrefix="0" xfId="0">
      <alignment horizontal="center" vertical="center"/>
    </xf>
    <xf numFmtId="0" fontId="45" fillId="0" borderId="27" applyAlignment="1" pivotButton="0" quotePrefix="0" xfId="0">
      <alignment horizontal="center" vertical="center"/>
    </xf>
    <xf numFmtId="0" fontId="45" fillId="0" borderId="28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 wrapText="1"/>
    </xf>
    <xf numFmtId="0" fontId="45" fillId="0" borderId="61" applyAlignment="1" pivotButton="0" quotePrefix="0" xfId="0">
      <alignment horizontal="center" vertical="center" wrapText="1"/>
    </xf>
    <xf numFmtId="0" fontId="31" fillId="0" borderId="0" applyAlignment="1" pivotButton="0" quotePrefix="0" xfId="28">
      <alignment horizontal="left" vertical="center"/>
    </xf>
    <xf numFmtId="0" fontId="29" fillId="0" borderId="25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17" fontId="45" fillId="0" borderId="26" applyAlignment="1" pivotButton="0" quotePrefix="0" xfId="0">
      <alignment horizontal="center" vertical="center"/>
    </xf>
    <xf numFmtId="0" fontId="29" fillId="0" borderId="45" applyAlignment="1" pivotButton="0" quotePrefix="0" xfId="0">
      <alignment horizontal="center" vertical="center"/>
    </xf>
    <xf numFmtId="0" fontId="29" fillId="0" borderId="53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 wrapText="1"/>
    </xf>
    <xf numFmtId="0" fontId="10" fillId="0" borderId="54" applyAlignment="1" pivotButton="0" quotePrefix="0" xfId="0">
      <alignment horizontal="center" vertical="center" wrapText="1"/>
    </xf>
    <xf numFmtId="0" fontId="10" fillId="0" borderId="44" applyAlignment="1" pivotButton="0" quotePrefix="0" xfId="0">
      <alignment horizontal="center" vertical="center" wrapText="1"/>
    </xf>
    <xf numFmtId="0" fontId="10" fillId="0" borderId="59" applyAlignment="1" pivotButton="0" quotePrefix="0" xfId="0">
      <alignment horizontal="center" vertical="center" wrapText="1"/>
    </xf>
    <xf numFmtId="0" fontId="10" fillId="0" borderId="60" applyAlignment="1" pivotButton="0" quotePrefix="0" xfId="0">
      <alignment horizontal="center" vertical="center" wrapText="1"/>
    </xf>
    <xf numFmtId="0" fontId="10" fillId="0" borderId="65" applyAlignment="1" pivotButton="0" quotePrefix="0" xfId="0">
      <alignment horizontal="center" vertical="center" wrapText="1"/>
    </xf>
    <xf numFmtId="0" fontId="10" fillId="0" borderId="55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61" applyAlignment="1" pivotButton="0" quotePrefix="0" xfId="0">
      <alignment horizontal="center" vertical="center" wrapText="1"/>
    </xf>
    <xf numFmtId="0" fontId="10" fillId="0" borderId="45" applyAlignment="1" pivotButton="0" quotePrefix="0" xfId="0">
      <alignment horizontal="center" vertical="center" wrapText="1"/>
    </xf>
    <xf numFmtId="0" fontId="10" fillId="0" borderId="25" applyAlignment="1" pivotButton="0" quotePrefix="0" xfId="0">
      <alignment horizontal="center" vertical="center" wrapText="1"/>
    </xf>
    <xf numFmtId="0" fontId="10" fillId="0" borderId="53" applyAlignment="1" pivotButton="0" quotePrefix="0" xfId="0">
      <alignment horizontal="center" vertical="center" wrapText="1"/>
    </xf>
    <xf numFmtId="2" fontId="35" fillId="0" borderId="64" applyAlignment="1" pivotButton="0" quotePrefix="0" xfId="0">
      <alignment horizontal="center" vertical="center" wrapText="1"/>
    </xf>
    <xf numFmtId="2" fontId="35" fillId="0" borderId="54" applyAlignment="1" pivotButton="0" quotePrefix="0" xfId="0">
      <alignment horizontal="center" vertical="center" wrapText="1"/>
    </xf>
    <xf numFmtId="2" fontId="35" fillId="0" borderId="44" applyAlignment="1" pivotButton="0" quotePrefix="0" xfId="0">
      <alignment horizontal="center" vertical="center" wrapText="1"/>
    </xf>
    <xf numFmtId="0" fontId="35" fillId="0" borderId="64" applyAlignment="1" pivotButton="0" quotePrefix="0" xfId="0">
      <alignment horizontal="center" vertical="center" wrapText="1"/>
    </xf>
    <xf numFmtId="0" fontId="35" fillId="0" borderId="54" applyAlignment="1" pivotButton="0" quotePrefix="0" xfId="0">
      <alignment horizontal="center" vertical="center" wrapText="1"/>
    </xf>
    <xf numFmtId="0" fontId="35" fillId="0" borderId="44" applyAlignment="1" pivotButton="0" quotePrefix="0" xfId="0">
      <alignment horizontal="center" vertical="center" wrapText="1"/>
    </xf>
    <xf numFmtId="0" fontId="35" fillId="0" borderId="65" applyAlignment="1" pivotButton="0" quotePrefix="0" xfId="0">
      <alignment horizontal="center" vertical="center" wrapText="1"/>
    </xf>
    <xf numFmtId="0" fontId="35" fillId="0" borderId="61" applyAlignment="1" pivotButton="0" quotePrefix="0" xfId="0">
      <alignment horizontal="center" vertical="center" wrapText="1"/>
    </xf>
    <xf numFmtId="0" fontId="35" fillId="0" borderId="53" applyAlignment="1" pivotButton="0" quotePrefix="0" xfId="0">
      <alignment horizontal="center" vertical="center" wrapText="1"/>
    </xf>
    <xf numFmtId="17" fontId="45" fillId="0" borderId="28" applyAlignment="1" pivotButton="0" quotePrefix="0" xfId="0">
      <alignment horizontal="center" vertical="center"/>
    </xf>
    <xf numFmtId="0" fontId="45" fillId="0" borderId="55" applyAlignment="1" pivotButton="0" quotePrefix="0" xfId="0">
      <alignment horizontal="center" vertical="center" wrapText="1"/>
    </xf>
    <xf numFmtId="174" fontId="27" fillId="0" borderId="0" pivotButton="0" quotePrefix="0" xfId="0"/>
    <xf numFmtId="174" fontId="27" fillId="0" borderId="0" pivotButton="0" quotePrefix="0" xfId="12"/>
    <xf numFmtId="0" fontId="27" fillId="4" borderId="0" pivotButton="0" quotePrefix="0" xfId="0"/>
    <xf numFmtId="174" fontId="4" fillId="0" borderId="0" applyAlignment="1" pivotButton="0" quotePrefix="0" xfId="14">
      <alignment vertical="top" wrapText="1"/>
    </xf>
    <xf numFmtId="170" fontId="3" fillId="0" borderId="0" applyAlignment="1" pivotButton="0" quotePrefix="0" xfId="12">
      <alignment horizontal="center"/>
    </xf>
    <xf numFmtId="174" fontId="3" fillId="0" borderId="0" applyAlignment="1" pivotButton="0" quotePrefix="0" xfId="12">
      <alignment horizontal="center"/>
    </xf>
    <xf numFmtId="166" fontId="4" fillId="0" borderId="5" applyAlignment="1" pivotButton="0" quotePrefix="0" xfId="14">
      <alignment horizontal="center" vertical="center" wrapText="1" shrinkToFit="1"/>
    </xf>
    <xf numFmtId="0" fontId="0" fillId="0" borderId="14" pivotButton="0" quotePrefix="0" xfId="0"/>
    <xf numFmtId="0" fontId="0" fillId="0" borderId="15" pivotButton="0" quotePrefix="0" xfId="0"/>
    <xf numFmtId="43" fontId="4" fillId="0" borderId="15" applyAlignment="1" pivotButton="0" quotePrefix="0" xfId="14">
      <alignment horizontal="center" vertical="center" shrinkToFit="1"/>
    </xf>
    <xf numFmtId="170" fontId="4" fillId="0" borderId="5" applyAlignment="1" pivotButton="0" quotePrefix="0" xfId="12">
      <alignment horizontal="center" shrinkToFit="1"/>
    </xf>
    <xf numFmtId="174" fontId="4" fillId="0" borderId="5" applyAlignment="1" pivotButton="0" quotePrefix="0" xfId="12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174" fontId="4" fillId="0" borderId="2" applyAlignment="1" pivotButton="0" quotePrefix="0" xfId="12">
      <alignment horizontal="center" shrinkToFit="1"/>
    </xf>
    <xf numFmtId="0" fontId="0" fillId="0" borderId="13" pivotButton="0" quotePrefix="0" xfId="0"/>
    <xf numFmtId="170" fontId="4" fillId="0" borderId="2" applyAlignment="1" pivotButton="0" quotePrefix="0" xfId="12">
      <alignment horizontal="center" shrinkToFit="1"/>
    </xf>
    <xf numFmtId="174" fontId="4" fillId="0" borderId="24" applyAlignment="1" pivotButton="0" quotePrefix="0" xfId="12">
      <alignment horizontal="center" vertical="center"/>
    </xf>
    <xf numFmtId="0" fontId="0" fillId="0" borderId="23" pivotButton="0" quotePrefix="0" xfId="0"/>
    <xf numFmtId="174" fontId="4" fillId="0" borderId="5" applyAlignment="1" pivotButton="0" quotePrefix="0" xfId="12">
      <alignment horizontal="center" vertical="center" shrinkToFit="1"/>
    </xf>
    <xf numFmtId="170" fontId="4" fillId="0" borderId="5" applyAlignment="1" pivotButton="0" quotePrefix="0" xfId="12">
      <alignment horizontal="center" vertical="center" shrinkToFit="1"/>
    </xf>
    <xf numFmtId="174" fontId="4" fillId="0" borderId="2" applyAlignment="1" pivotButton="0" quotePrefix="0" xfId="12">
      <alignment horizontal="center" vertical="center" wrapText="1"/>
    </xf>
    <xf numFmtId="41" fontId="4" fillId="0" borderId="1" applyAlignment="1" pivotButton="0" quotePrefix="0" xfId="4">
      <alignment horizontal="left"/>
    </xf>
    <xf numFmtId="41" fontId="4" fillId="0" borderId="14" applyAlignment="1" pivotButton="0" quotePrefix="0" xfId="4">
      <alignment horizontal="left"/>
    </xf>
    <xf numFmtId="41" fontId="3" fillId="0" borderId="14" pivotButton="0" quotePrefix="0" xfId="4"/>
    <xf numFmtId="166" fontId="3" fillId="0" borderId="15" pivotButton="0" quotePrefix="0" xfId="15"/>
    <xf numFmtId="43" fontId="3" fillId="0" borderId="5" applyAlignment="1" pivotButton="0" quotePrefix="0" xfId="14">
      <alignment horizontal="center" vertical="justify" shrinkToFit="1"/>
    </xf>
    <xf numFmtId="174" fontId="3" fillId="0" borderId="1" applyAlignment="1" pivotButton="0" quotePrefix="0" xfId="12">
      <alignment horizontal="center" vertical="center" wrapText="1" shrinkToFit="1"/>
    </xf>
    <xf numFmtId="174" fontId="3" fillId="0" borderId="17" applyAlignment="1" pivotButton="0" quotePrefix="0" xfId="12">
      <alignment horizontal="center" shrinkToFit="1"/>
    </xf>
    <xf numFmtId="170" fontId="4" fillId="0" borderId="5" applyAlignment="1" pivotButton="0" quotePrefix="0" xfId="12">
      <alignment horizontal="center" vertical="center" wrapText="1" shrinkToFit="1"/>
    </xf>
    <xf numFmtId="174" fontId="27" fillId="0" borderId="5" pivotButton="0" quotePrefix="0" xfId="12"/>
    <xf numFmtId="41" fontId="3" fillId="0" borderId="10" applyAlignment="1" pivotButton="0" quotePrefix="0" xfId="4">
      <alignment vertical="center"/>
    </xf>
    <xf numFmtId="43" fontId="3" fillId="0" borderId="9" applyAlignment="1" pivotButton="0" quotePrefix="0" xfId="14">
      <alignment horizontal="center" vertical="top" shrinkToFit="1"/>
    </xf>
    <xf numFmtId="174" fontId="3" fillId="0" borderId="10" applyAlignment="1" pivotButton="0" quotePrefix="0" xfId="12">
      <alignment horizontal="center" vertical="top" shrinkToFit="1"/>
    </xf>
    <xf numFmtId="174" fontId="3" fillId="0" borderId="18" applyAlignment="1" pivotButton="0" quotePrefix="0" xfId="12">
      <alignment horizontal="center" vertical="top" shrinkToFit="1"/>
    </xf>
    <xf numFmtId="170" fontId="3" fillId="0" borderId="9" applyAlignment="1" pivotButton="0" quotePrefix="0" xfId="12">
      <alignment horizontal="center" vertical="top" shrinkToFit="1"/>
    </xf>
    <xf numFmtId="175" fontId="3" fillId="0" borderId="9" applyAlignment="1" pivotButton="0" quotePrefix="0" xfId="11">
      <alignment horizontal="center" vertical="top" wrapText="1" shrinkToFit="1"/>
    </xf>
    <xf numFmtId="174" fontId="27" fillId="0" borderId="9" pivotButton="0" quotePrefix="0" xfId="12"/>
    <xf numFmtId="41" fontId="3" fillId="0" borderId="10" applyAlignment="1" pivotButton="0" quotePrefix="0" xfId="4">
      <alignment horizontal="left"/>
    </xf>
    <xf numFmtId="41" fontId="3" fillId="0" borderId="0" applyAlignment="1" pivotButton="0" quotePrefix="0" xfId="4">
      <alignment horizontal="left"/>
    </xf>
    <xf numFmtId="41" fontId="3" fillId="0" borderId="0" pivotButton="0" quotePrefix="0" xfId="4"/>
    <xf numFmtId="166" fontId="3" fillId="0" borderId="11" pivotButton="0" quotePrefix="0" xfId="15"/>
    <xf numFmtId="43" fontId="3" fillId="0" borderId="9" applyAlignment="1" pivotButton="0" quotePrefix="0" xfId="14">
      <alignment horizontal="center" vertical="justify" shrinkToFit="1"/>
    </xf>
    <xf numFmtId="174" fontId="3" fillId="0" borderId="10" applyAlignment="1" pivotButton="0" quotePrefix="0" xfId="12">
      <alignment horizontal="center" shrinkToFit="1"/>
    </xf>
    <xf numFmtId="170" fontId="3" fillId="0" borderId="9" applyAlignment="1" pivotButton="0" quotePrefix="0" xfId="12">
      <alignment horizontal="center" shrinkToFit="1"/>
    </xf>
    <xf numFmtId="175" fontId="3" fillId="0" borderId="9" applyAlignment="1" pivotButton="0" quotePrefix="0" xfId="11">
      <alignment horizontal="center" vertical="center" wrapText="1" shrinkToFit="1"/>
    </xf>
    <xf numFmtId="174" fontId="3" fillId="0" borderId="18" applyAlignment="1" pivotButton="0" quotePrefix="0" xfId="12">
      <alignment horizontal="center" shrinkToFit="1"/>
    </xf>
    <xf numFmtId="173" fontId="3" fillId="0" borderId="0" pivotButton="0" quotePrefix="0" xfId="14"/>
    <xf numFmtId="41" fontId="4" fillId="0" borderId="11" applyAlignment="1" pivotButton="0" quotePrefix="0" xfId="4">
      <alignment horizontal="right"/>
    </xf>
    <xf numFmtId="166" fontId="4" fillId="2" borderId="2" applyAlignment="1" pivotButton="0" quotePrefix="0" xfId="15">
      <alignment horizontal="center"/>
    </xf>
    <xf numFmtId="41" fontId="4" fillId="2" borderId="19" applyAlignment="1" pivotButton="0" quotePrefix="0" xfId="4">
      <alignment horizontal="left"/>
    </xf>
    <xf numFmtId="41" fontId="4" fillId="2" borderId="20" applyAlignment="1" pivotButton="0" quotePrefix="0" xfId="4">
      <alignment horizontal="left"/>
    </xf>
    <xf numFmtId="41" fontId="3" fillId="2" borderId="20" pivotButton="0" quotePrefix="0" xfId="4"/>
    <xf numFmtId="41" fontId="4" fillId="2" borderId="13" applyAlignment="1" pivotButton="0" quotePrefix="0" xfId="4">
      <alignment horizontal="right"/>
    </xf>
    <xf numFmtId="43" fontId="3" fillId="2" borderId="2" applyAlignment="1" pivotButton="0" quotePrefix="0" xfId="14">
      <alignment horizontal="center" vertical="justify" shrinkToFit="1"/>
    </xf>
    <xf numFmtId="174" fontId="3" fillId="2" borderId="19" applyAlignment="1" pivotButton="0" quotePrefix="0" xfId="12">
      <alignment horizontal="center" vertical="center" wrapText="1" shrinkToFit="1"/>
    </xf>
    <xf numFmtId="174" fontId="3" fillId="2" borderId="21" applyAlignment="1" pivotButton="0" quotePrefix="0" xfId="12">
      <alignment horizontal="center" shrinkToFit="1"/>
    </xf>
    <xf numFmtId="170" fontId="4" fillId="2" borderId="2" applyAlignment="1" pivotButton="0" quotePrefix="0" xfId="12">
      <alignment horizontal="center" vertical="center" wrapText="1" shrinkToFit="1"/>
    </xf>
    <xf numFmtId="174" fontId="4" fillId="2" borderId="2" applyAlignment="1" pivotButton="0" quotePrefix="0" xfId="12">
      <alignment horizontal="center" vertical="center" wrapText="1" shrinkToFit="1"/>
    </xf>
    <xf numFmtId="175" fontId="3" fillId="0" borderId="10" applyAlignment="1" pivotButton="0" quotePrefix="0" xfId="11">
      <alignment horizontal="right" vertical="center" wrapText="1" shrinkToFit="1"/>
    </xf>
    <xf numFmtId="170" fontId="4" fillId="0" borderId="9" applyAlignment="1" pivotButton="0" quotePrefix="0" xfId="12">
      <alignment horizontal="center" vertical="center" wrapText="1" shrinkToFit="1"/>
    </xf>
    <xf numFmtId="41" fontId="4" fillId="0" borderId="0" applyAlignment="1" pivotButton="0" quotePrefix="0" xfId="4">
      <alignment horizontal="left"/>
    </xf>
    <xf numFmtId="41" fontId="4" fillId="0" borderId="0" pivotButton="0" quotePrefix="0" xfId="4"/>
    <xf numFmtId="174" fontId="3" fillId="0" borderId="10" applyAlignment="1" pivotButton="0" quotePrefix="0" xfId="12">
      <alignment horizontal="center" vertical="center" wrapText="1" shrinkToFit="1"/>
    </xf>
    <xf numFmtId="41" fontId="4" fillId="0" borderId="10" applyAlignment="1" pivotButton="0" quotePrefix="0" xfId="4">
      <alignment horizontal="left"/>
    </xf>
    <xf numFmtId="170" fontId="3" fillId="0" borderId="9" applyAlignment="1" pivotButton="0" quotePrefix="0" xfId="12">
      <alignment horizontal="center" vertical="center" wrapText="1" shrinkToFit="1"/>
    </xf>
    <xf numFmtId="175" fontId="3" fillId="0" borderId="18" applyAlignment="1" pivotButton="0" quotePrefix="0" xfId="11">
      <alignment horizontal="right" shrinkToFit="1"/>
    </xf>
    <xf numFmtId="175" fontId="3" fillId="0" borderId="10" applyAlignment="1" pivotButton="0" quotePrefix="0" xfId="11">
      <alignment horizontal="right" shrinkToFit="1"/>
    </xf>
    <xf numFmtId="166" fontId="3" fillId="0" borderId="0" pivotButton="0" quotePrefix="0" xfId="15"/>
    <xf numFmtId="43" fontId="3" fillId="0" borderId="0" applyAlignment="1" pivotButton="0" quotePrefix="0" xfId="14">
      <alignment horizontal="center" vertical="justify" shrinkToFit="1"/>
    </xf>
    <xf numFmtId="174" fontId="3" fillId="0" borderId="0" applyAlignment="1" pivotButton="0" quotePrefix="0" xfId="12">
      <alignment horizontal="center" vertical="center" wrapText="1" shrinkToFit="1"/>
    </xf>
    <xf numFmtId="174" fontId="3" fillId="0" borderId="0" applyAlignment="1" pivotButton="0" quotePrefix="0" xfId="12">
      <alignment horizontal="center" shrinkToFit="1"/>
    </xf>
    <xf numFmtId="170" fontId="3" fillId="0" borderId="0" applyAlignment="1" pivotButton="0" quotePrefix="0" xfId="12">
      <alignment horizontal="center" shrinkToFit="1"/>
    </xf>
    <xf numFmtId="170" fontId="3" fillId="0" borderId="0" applyAlignment="1" pivotButton="0" quotePrefix="0" xfId="12">
      <alignment horizontal="center" vertical="center" wrapText="1" shrinkToFit="1"/>
    </xf>
    <xf numFmtId="170" fontId="4" fillId="0" borderId="0" applyAlignment="1" pivotButton="0" quotePrefix="0" xfId="12">
      <alignment horizontal="center" vertical="center" wrapText="1" shrinkToFit="1"/>
    </xf>
    <xf numFmtId="41" fontId="4" fillId="0" borderId="0" applyAlignment="1" pivotButton="0" quotePrefix="0" xfId="4">
      <alignment vertical="center"/>
    </xf>
    <xf numFmtId="43" fontId="3" fillId="0" borderId="0" applyAlignment="1" pivotButton="0" quotePrefix="0" xfId="14">
      <alignment horizontal="center" vertical="top" shrinkToFit="1"/>
    </xf>
    <xf numFmtId="174" fontId="3" fillId="0" borderId="0" applyAlignment="1" pivotButton="0" quotePrefix="0" xfId="12">
      <alignment horizontal="center" vertical="top" shrinkToFit="1"/>
    </xf>
    <xf numFmtId="170" fontId="3" fillId="0" borderId="0" applyAlignment="1" pivotButton="0" quotePrefix="0" xfId="12">
      <alignment horizontal="center" vertical="top" shrinkToFit="1"/>
    </xf>
    <xf numFmtId="170" fontId="3" fillId="0" borderId="0" applyAlignment="1" pivotButton="0" quotePrefix="0" xfId="12">
      <alignment horizontal="center" vertical="top" wrapText="1" shrinkToFit="1"/>
    </xf>
    <xf numFmtId="166" fontId="4" fillId="0" borderId="0" applyAlignment="1" pivotButton="0" quotePrefix="0" xfId="15">
      <alignment horizontal="right"/>
    </xf>
    <xf numFmtId="165" fontId="9" fillId="0" borderId="0" applyAlignment="1" pivotButton="0" quotePrefix="0" xfId="12">
      <alignment vertical="center"/>
    </xf>
    <xf numFmtId="165" fontId="8" fillId="0" borderId="0" applyAlignment="1" pivotButton="0" quotePrefix="0" xfId="12">
      <alignment vertical="center"/>
    </xf>
    <xf numFmtId="169" fontId="8" fillId="0" borderId="8" applyAlignment="1" pivotButton="0" quotePrefix="0" xfId="12">
      <alignment vertical="center"/>
    </xf>
    <xf numFmtId="169" fontId="8" fillId="0" borderId="8" applyAlignment="1" pivotButton="0" quotePrefix="1" xfId="12">
      <alignment horizontal="left" vertical="center"/>
    </xf>
    <xf numFmtId="165" fontId="8" fillId="0" borderId="8" applyAlignment="1" pivotButton="0" quotePrefix="0" xfId="12">
      <alignment horizontal="right" vertical="center"/>
    </xf>
    <xf numFmtId="165" fontId="26" fillId="0" borderId="8" applyAlignment="1" pivotButton="0" quotePrefix="0" xfId="12">
      <alignment vertical="center"/>
    </xf>
    <xf numFmtId="0" fontId="8" fillId="0" borderId="2" applyAlignment="1" pivotButton="0" quotePrefix="0" xfId="27">
      <alignment horizontal="center" vertical="center"/>
    </xf>
    <xf numFmtId="165" fontId="8" fillId="0" borderId="24" applyAlignment="1" pivotButton="0" quotePrefix="0" xfId="12">
      <alignment horizontal="center" vertical="center" wrapText="1"/>
    </xf>
    <xf numFmtId="0" fontId="0" fillId="0" borderId="24" pivotButton="0" quotePrefix="0" xfId="0"/>
    <xf numFmtId="0" fontId="0" fillId="0" borderId="22" pivotButton="0" quotePrefix="0" xfId="0"/>
    <xf numFmtId="0" fontId="0" fillId="0" borderId="8" pivotButton="0" quotePrefix="0" xfId="0"/>
    <xf numFmtId="170" fontId="8" fillId="0" borderId="10" applyAlignment="1" pivotButton="0" quotePrefix="0" xfId="12">
      <alignment vertical="center"/>
    </xf>
    <xf numFmtId="170" fontId="8" fillId="0" borderId="0" applyAlignment="1" pivotButton="0" quotePrefix="0" xfId="12">
      <alignment vertical="center"/>
    </xf>
    <xf numFmtId="165" fontId="9" fillId="0" borderId="0" applyAlignment="1" pivotButton="0" quotePrefix="0" xfId="12">
      <alignment horizontal="right" vertical="center"/>
    </xf>
    <xf numFmtId="165" fontId="9" fillId="0" borderId="11" applyAlignment="1" pivotButton="0" quotePrefix="0" xfId="12">
      <alignment horizontal="right" vertical="center"/>
    </xf>
    <xf numFmtId="165" fontId="9" fillId="0" borderId="11" applyAlignment="1" pivotButton="0" quotePrefix="0" xfId="12">
      <alignment horizontal="right"/>
    </xf>
    <xf numFmtId="165" fontId="9" fillId="0" borderId="9" applyAlignment="1" pivotButton="0" quotePrefix="0" xfId="12">
      <alignment horizontal="right"/>
    </xf>
    <xf numFmtId="170" fontId="8" fillId="0" borderId="12" applyAlignment="1" pivotButton="0" quotePrefix="0" xfId="12">
      <alignment vertical="center"/>
    </xf>
    <xf numFmtId="170" fontId="8" fillId="0" borderId="3" applyAlignment="1" pivotButton="0" quotePrefix="0" xfId="12">
      <alignment vertical="center"/>
    </xf>
    <xf numFmtId="170" fontId="8" fillId="0" borderId="4" applyAlignment="1" pivotButton="0" quotePrefix="0" xfId="12">
      <alignment vertical="center"/>
    </xf>
    <xf numFmtId="172" fontId="9" fillId="0" borderId="7" applyAlignment="1" pivotButton="0" quotePrefix="0" xfId="12">
      <alignment horizontal="center" vertical="center"/>
    </xf>
    <xf numFmtId="167" fontId="9" fillId="0" borderId="7" applyAlignment="1" pivotButton="0" quotePrefix="0" xfId="12">
      <alignment horizontal="center" vertical="center"/>
    </xf>
    <xf numFmtId="170" fontId="8" fillId="0" borderId="12" applyAlignment="1" pivotButton="0" quotePrefix="1" xfId="12">
      <alignment vertical="center"/>
    </xf>
    <xf numFmtId="172" fontId="9" fillId="0" borderId="4" applyAlignment="1" pivotButton="0" quotePrefix="0" xfId="12">
      <alignment horizontal="center" vertical="center"/>
    </xf>
    <xf numFmtId="0" fontId="0" fillId="0" borderId="20" pivotButton="0" quotePrefix="0" xfId="0"/>
    <xf numFmtId="41" fontId="15" fillId="0" borderId="0" applyAlignment="1" pivotButton="0" quotePrefix="0" xfId="12">
      <alignment vertical="center"/>
    </xf>
    <xf numFmtId="41" fontId="9" fillId="0" borderId="0" applyAlignment="1" pivotButton="0" quotePrefix="0" xfId="12">
      <alignment vertical="center"/>
    </xf>
    <xf numFmtId="170" fontId="9" fillId="0" borderId="0" applyAlignment="1" pivotButton="0" quotePrefix="0" xfId="12">
      <alignment horizontal="left"/>
    </xf>
    <xf numFmtId="164" fontId="3" fillId="0" borderId="0" applyAlignment="1" pivotButton="0" quotePrefix="0" xfId="2">
      <alignment horizontal="center"/>
    </xf>
    <xf numFmtId="41" fontId="3" fillId="0" borderId="0" pivotButton="0" quotePrefix="0" xfId="13"/>
    <xf numFmtId="164" fontId="8" fillId="0" borderId="0" applyAlignment="1" pivotButton="0" quotePrefix="0" xfId="2">
      <alignment horizontal="center"/>
    </xf>
    <xf numFmtId="41" fontId="8" fillId="0" borderId="0" pivotButton="0" quotePrefix="0" xfId="13"/>
    <xf numFmtId="171" fontId="8" fillId="0" borderId="0" pivotButton="0" quotePrefix="0" xfId="13"/>
    <xf numFmtId="164" fontId="9" fillId="0" borderId="0" applyAlignment="1" pivotButton="0" quotePrefix="0" xfId="2">
      <alignment horizontal="center"/>
    </xf>
    <xf numFmtId="166" fontId="2" fillId="0" borderId="2" applyAlignment="1" pivotButton="0" quotePrefix="0" xfId="13">
      <alignment horizontal="center" vertical="center" wrapText="1" shrinkToFit="1"/>
    </xf>
    <xf numFmtId="43" fontId="8" fillId="0" borderId="2" applyAlignment="1" pivotButton="0" quotePrefix="0" xfId="13">
      <alignment horizontal="center" vertical="center" wrapText="1" shrinkToFit="1"/>
    </xf>
    <xf numFmtId="166" fontId="4" fillId="0" borderId="5" applyAlignment="1" pivotButton="0" quotePrefix="0" xfId="22">
      <alignment horizontal="center" vertical="center"/>
    </xf>
    <xf numFmtId="41" fontId="4" fillId="0" borderId="1" applyAlignment="1" pivotButton="0" quotePrefix="0" xfId="2">
      <alignment vertical="center"/>
    </xf>
    <xf numFmtId="41" fontId="4" fillId="0" borderId="14" applyAlignment="1" pivotButton="0" quotePrefix="0" xfId="2">
      <alignment vertical="center"/>
    </xf>
    <xf numFmtId="41" fontId="4" fillId="0" borderId="15" applyAlignment="1" pivotButton="0" quotePrefix="0" xfId="2">
      <alignment vertical="center"/>
    </xf>
    <xf numFmtId="164" fontId="3" fillId="0" borderId="1" applyAlignment="1" pivotButton="0" quotePrefix="0" xfId="13">
      <alignment horizontal="center" shrinkToFit="1"/>
    </xf>
    <xf numFmtId="164" fontId="3" fillId="0" borderId="5" applyAlignment="1" pivotButton="0" quotePrefix="0" xfId="13">
      <alignment horizontal="center" shrinkToFit="1"/>
    </xf>
    <xf numFmtId="43" fontId="3" fillId="0" borderId="15" applyAlignment="1" pivotButton="0" quotePrefix="0" xfId="13">
      <alignment horizontal="center" vertical="justify" shrinkToFit="1"/>
    </xf>
    <xf numFmtId="41" fontId="3" fillId="0" borderId="1" applyAlignment="1" pivotButton="0" quotePrefix="0" xfId="2">
      <alignment horizontal="right" vertical="center" wrapText="1" shrinkToFit="1"/>
    </xf>
    <xf numFmtId="41" fontId="3" fillId="0" borderId="5" applyAlignment="1" pivotButton="0" quotePrefix="0" xfId="2">
      <alignment horizontal="right" shrinkToFit="1"/>
    </xf>
    <xf numFmtId="41" fontId="3" fillId="0" borderId="3" applyAlignment="1" pivotButton="0" quotePrefix="0" xfId="2">
      <alignment horizontal="left" vertical="center"/>
    </xf>
    <xf numFmtId="41" fontId="4" fillId="0" borderId="3" applyAlignment="1" pivotButton="0" quotePrefix="0" xfId="2">
      <alignment horizontal="left" vertical="center"/>
    </xf>
    <xf numFmtId="41" fontId="4" fillId="0" borderId="4" applyAlignment="1" pivotButton="0" quotePrefix="0" xfId="2">
      <alignment horizontal="left" vertical="center"/>
    </xf>
    <xf numFmtId="167" fontId="3" fillId="0" borderId="12" applyAlignment="1" pivotButton="0" quotePrefix="0" xfId="13">
      <alignment horizontal="center" vertical="center" shrinkToFit="1"/>
    </xf>
    <xf numFmtId="167" fontId="3" fillId="0" borderId="7" applyAlignment="1" pivotButton="0" quotePrefix="0" xfId="13">
      <alignment horizontal="center" vertical="center" shrinkToFit="1"/>
    </xf>
    <xf numFmtId="167" fontId="3" fillId="0" borderId="7" applyAlignment="1" pivotButton="0" quotePrefix="0" xfId="5">
      <alignment horizontal="center" vertical="center" shrinkToFit="1"/>
    </xf>
    <xf numFmtId="41" fontId="3" fillId="0" borderId="3" pivotButton="0" quotePrefix="0" xfId="2"/>
    <xf numFmtId="166" fontId="3" fillId="0" borderId="4" pivotButton="0" quotePrefix="0" xfId="0"/>
    <xf numFmtId="167" fontId="3" fillId="0" borderId="16" applyAlignment="1" pivotButton="0" quotePrefix="0" xfId="13">
      <alignment horizontal="center" vertical="center" shrinkToFit="1"/>
    </xf>
    <xf numFmtId="166" fontId="8" fillId="0" borderId="2" applyAlignment="1" pivotButton="0" quotePrefix="0" xfId="13">
      <alignment horizontal="center"/>
    </xf>
    <xf numFmtId="41" fontId="8" fillId="0" borderId="2" applyAlignment="1" pivotButton="0" quotePrefix="0" xfId="2">
      <alignment horizontal="center" vertical="center"/>
    </xf>
    <xf numFmtId="167" fontId="8" fillId="0" borderId="2" applyAlignment="1" pivotButton="0" quotePrefix="0" xfId="5">
      <alignment horizontal="center" vertical="center" shrinkToFit="1"/>
    </xf>
    <xf numFmtId="167" fontId="3" fillId="0" borderId="0" applyAlignment="1" pivotButton="0" quotePrefix="0" xfId="13">
      <alignment horizontal="center"/>
    </xf>
    <xf numFmtId="164" fontId="4" fillId="0" borderId="0" pivotButton="0" quotePrefix="0" xfId="2"/>
    <xf numFmtId="164" fontId="25" fillId="0" borderId="0" pivotButton="0" quotePrefix="0" xfId="2"/>
    <xf numFmtId="164" fontId="4" fillId="0" borderId="0" applyAlignment="1" pivotButton="0" quotePrefix="0" xfId="2">
      <alignment horizontal="left"/>
    </xf>
    <xf numFmtId="164" fontId="25" fillId="0" borderId="0" applyAlignment="1" pivotButton="0" quotePrefix="0" xfId="2">
      <alignment horizontal="left"/>
    </xf>
    <xf numFmtId="164" fontId="4" fillId="0" borderId="0" applyAlignment="1" pivotButton="0" quotePrefix="0" xfId="2">
      <alignment horizontal="center"/>
    </xf>
    <xf numFmtId="41" fontId="4" fillId="0" borderId="0" pivotButton="0" quotePrefix="0" xfId="13"/>
    <xf numFmtId="41" fontId="25" fillId="0" borderId="0" pivotButton="0" quotePrefix="0" xfId="13"/>
    <xf numFmtId="164" fontId="8" fillId="0" borderId="0" applyAlignment="1" pivotButton="0" quotePrefix="0" xfId="2">
      <alignment horizontal="center" vertical="center"/>
    </xf>
    <xf numFmtId="41" fontId="8" fillId="0" borderId="0" applyAlignment="1" pivotButton="0" quotePrefix="0" xfId="13">
      <alignment vertical="center"/>
    </xf>
    <xf numFmtId="43" fontId="8" fillId="0" borderId="0" applyAlignment="1" pivotButton="0" quotePrefix="0" xfId="13">
      <alignment horizontal="center" vertical="center" wrapText="1" shrinkToFit="1"/>
    </xf>
    <xf numFmtId="164" fontId="3" fillId="0" borderId="1" applyAlignment="1" pivotButton="0" quotePrefix="0" xfId="13">
      <alignment horizontal="center" vertical="center" shrinkToFit="1"/>
    </xf>
    <xf numFmtId="164" fontId="3" fillId="0" borderId="5" applyAlignment="1" pivotButton="0" quotePrefix="0" xfId="13">
      <alignment horizontal="center" vertical="center" shrinkToFit="1"/>
    </xf>
    <xf numFmtId="43" fontId="3" fillId="0" borderId="15" applyAlignment="1" pivotButton="0" quotePrefix="0" xfId="13">
      <alignment horizontal="center" vertical="center" shrinkToFit="1"/>
    </xf>
    <xf numFmtId="41" fontId="3" fillId="0" borderId="5" applyAlignment="1" pivotButton="0" quotePrefix="0" xfId="2">
      <alignment horizontal="right" vertical="center" shrinkToFit="1"/>
    </xf>
    <xf numFmtId="41" fontId="3" fillId="0" borderId="0" applyAlignment="1" pivotButton="0" quotePrefix="0" xfId="2">
      <alignment horizontal="right" vertical="center" shrinkToFit="1"/>
    </xf>
    <xf numFmtId="167" fontId="3" fillId="0" borderId="4" applyAlignment="1" pivotButton="0" quotePrefix="0" xfId="13">
      <alignment horizontal="center" vertical="center" shrinkToFit="1"/>
    </xf>
    <xf numFmtId="167" fontId="3" fillId="0" borderId="0" applyAlignment="1" pivotButton="0" quotePrefix="0" xfId="5">
      <alignment horizontal="center" vertical="center" shrinkToFit="1"/>
    </xf>
    <xf numFmtId="41" fontId="3" fillId="0" borderId="3" applyAlignment="1" pivotButton="0" quotePrefix="0" xfId="2">
      <alignment vertical="center"/>
    </xf>
    <xf numFmtId="166" fontId="3" fillId="0" borderId="4" applyAlignment="1" pivotButton="0" quotePrefix="0" xfId="0">
      <alignment vertical="center"/>
    </xf>
    <xf numFmtId="166" fontId="3" fillId="0" borderId="7" applyAlignment="1" pivotButton="0" quotePrefix="0" xfId="22">
      <alignment horizontal="right" vertical="center"/>
    </xf>
    <xf numFmtId="167" fontId="8" fillId="0" borderId="0" applyAlignment="1" pivotButton="0" quotePrefix="0" xfId="5">
      <alignment horizontal="center" vertical="center" shrinkToFit="1"/>
    </xf>
    <xf numFmtId="164" fontId="26" fillId="0" borderId="0" applyAlignment="1" pivotButton="0" quotePrefix="0" xfId="2">
      <alignment horizontal="center"/>
    </xf>
    <xf numFmtId="167" fontId="26" fillId="0" borderId="0" applyAlignment="1" pivotButton="0" quotePrefix="0" xfId="13">
      <alignment horizontal="center"/>
    </xf>
    <xf numFmtId="166" fontId="8" fillId="0" borderId="2" applyAlignment="1" pivotButton="0" quotePrefix="0" xfId="13">
      <alignment horizontal="center" vertical="center" wrapText="1" shrinkToFit="1"/>
    </xf>
    <xf numFmtId="41" fontId="3" fillId="0" borderId="6" applyAlignment="1" pivotButton="0" quotePrefix="0" xfId="2">
      <alignment horizontal="right" shrinkToFit="1"/>
    </xf>
    <xf numFmtId="167" fontId="3" fillId="0" borderId="12" applyAlignment="1" pivotButton="0" quotePrefix="0" xfId="5">
      <alignment horizontal="center" vertical="center" shrinkToFit="1"/>
    </xf>
    <xf numFmtId="43" fontId="8" fillId="0" borderId="0" pivotButton="0" quotePrefix="0" xfId="13"/>
    <xf numFmtId="173" fontId="3" fillId="0" borderId="3" applyAlignment="1" pivotButton="0" quotePrefix="0" xfId="13">
      <alignment vertical="center"/>
    </xf>
    <xf numFmtId="173" fontId="4" fillId="0" borderId="3" applyAlignment="1" pivotButton="0" quotePrefix="0" xfId="13">
      <alignment vertical="center"/>
    </xf>
    <xf numFmtId="0" fontId="0" fillId="0" borderId="25" pivotButton="0" quotePrefix="0" xfId="0"/>
    <xf numFmtId="0" fontId="10" fillId="0" borderId="68" applyAlignment="1" pivotButton="0" quotePrefix="0" xfId="0">
      <alignment horizontal="center" vertical="center" wrapText="1"/>
    </xf>
    <xf numFmtId="0" fontId="0" fillId="0" borderId="60" pivotButton="0" quotePrefix="0" xfId="0"/>
    <xf numFmtId="0" fontId="0" fillId="0" borderId="65" pivotButton="0" quotePrefix="0" xfId="0"/>
    <xf numFmtId="2" fontId="35" fillId="0" borderId="68" applyAlignment="1" pivotButton="0" quotePrefix="0" xfId="0">
      <alignment horizontal="center" vertical="center" wrapText="1"/>
    </xf>
    <xf numFmtId="0" fontId="35" fillId="0" borderId="68" applyAlignment="1" pivotButton="0" quotePrefix="0" xfId="0">
      <alignment horizontal="center" vertical="center" wrapText="1"/>
    </xf>
    <xf numFmtId="0" fontId="0" fillId="0" borderId="27" pivotButton="0" quotePrefix="0" xfId="0"/>
    <xf numFmtId="17" fontId="45" fillId="0" borderId="29" applyAlignment="1" pivotButton="0" quotePrefix="0" xfId="0">
      <alignment horizontal="center" vertical="center"/>
    </xf>
    <xf numFmtId="0" fontId="0" fillId="0" borderId="28" pivotButton="0" quotePrefix="0" xfId="0"/>
    <xf numFmtId="0" fontId="35" fillId="0" borderId="69" applyAlignment="1" pivotButton="0" quotePrefix="0" xfId="0">
      <alignment horizontal="center" vertical="center" wrapText="1"/>
    </xf>
    <xf numFmtId="0" fontId="0" fillId="0" borderId="54" pivotButton="0" quotePrefix="0" xfId="0"/>
    <xf numFmtId="0" fontId="0" fillId="0" borderId="55" pivotButton="0" quotePrefix="0" xfId="0"/>
    <xf numFmtId="0" fontId="0" fillId="0" borderId="61" pivotButton="0" quotePrefix="0" xfId="0"/>
    <xf numFmtId="0" fontId="45" fillId="0" borderId="54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53" pivotButton="0" quotePrefix="0" xfId="0"/>
    <xf numFmtId="176" fontId="32" fillId="0" borderId="37" applyAlignment="1" pivotButton="0" quotePrefix="0" xfId="0">
      <alignment horizontal="center" vertical="center"/>
    </xf>
    <xf numFmtId="177" fontId="1" fillId="0" borderId="0" applyAlignment="1" pivotButton="0" quotePrefix="0" xfId="0">
      <alignment horizontal="left" vertical="center"/>
    </xf>
    <xf numFmtId="177" fontId="36" fillId="0" borderId="0" applyAlignment="1" pivotButton="0" quotePrefix="0" xfId="0">
      <alignment horizontal="left" vertical="center"/>
    </xf>
    <xf numFmtId="177" fontId="37" fillId="0" borderId="0" applyAlignment="1" pivotButton="0" quotePrefix="0" xfId="0">
      <alignment horizontal="left" vertical="center"/>
    </xf>
    <xf numFmtId="0" fontId="29" fillId="0" borderId="44" applyAlignment="1" pivotButton="0" quotePrefix="0" xfId="0">
      <alignment horizontal="center" vertical="center"/>
    </xf>
    <xf numFmtId="0" fontId="0" fillId="4" borderId="0" pivotButton="0" quotePrefix="0" xfId="0"/>
  </cellXfs>
  <cellStyles count="30">
    <cellStyle name="Normal" xfId="0" builtinId="0"/>
    <cellStyle name="Comma [0] 12" xfId="1"/>
    <cellStyle name="Comma [0] 2 2" xfId="2"/>
    <cellStyle name="Comma [0] 2 2 2 2" xfId="3"/>
    <cellStyle name="Comma [0] 2 3" xfId="4"/>
    <cellStyle name="Comma [0] 3 2" xfId="5"/>
    <cellStyle name="Comma 10" xfId="6"/>
    <cellStyle name="Comma 2" xfId="7"/>
    <cellStyle name="Comma 3 2" xfId="8"/>
    <cellStyle name="Comma 4" xfId="9"/>
    <cellStyle name="Comma 6" xfId="10"/>
    <cellStyle name="Koma" xfId="11" builtinId="3"/>
    <cellStyle name="Koma [0]" xfId="12" builtinId="6"/>
    <cellStyle name="Normal 10" xfId="13"/>
    <cellStyle name="Normal 10 2" xfId="14"/>
    <cellStyle name="Normal 15" xfId="15"/>
    <cellStyle name="Normal 2" xfId="16"/>
    <cellStyle name="Normal 2 2" xfId="17"/>
    <cellStyle name="Normal 2 2 2" xfId="18"/>
    <cellStyle name="Normal 2 2 2 2" xfId="19"/>
    <cellStyle name="Normal 2 2 4" xfId="20"/>
    <cellStyle name="Normal 2 21 2 5" xfId="21"/>
    <cellStyle name="Normal 2 3" xfId="22"/>
    <cellStyle name="Normal 3" xfId="23"/>
    <cellStyle name="Normal 3 3 2 4 2" xfId="24"/>
    <cellStyle name="Normal 3 4 2" xfId="25"/>
    <cellStyle name="Normal 7" xfId="26"/>
    <cellStyle name="Normal_E-AARY 2" xfId="27"/>
    <cellStyle name="Normal_PENAWARAN T3 &amp; GM 55-57-58 2012" xfId="28"/>
    <cellStyle name="Persen" xfId="29" builtinId="5"/>
  </cellStyles>
  <dxfs count="1">
    <dxf>
      <font>
        <color rgb="FFFFFFFF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externalLink" Target="/xl/externalLinks/externalLink1.xml" Id="rId13"/><Relationship Type="http://schemas.openxmlformats.org/officeDocument/2006/relationships/externalLink" Target="/xl/externalLinks/externalLink2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spPr>
            <a:ln xmlns:a="http://schemas.openxmlformats.org/drawingml/2006/main" w="571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val>
            <numRef>
              <f>'kurva S'!$I$67:$AA$67</f>
              <numCache>
                <formatCode>0.00</formatCode>
                <ptCount val="19"/>
                <pt idx="0">
                  <formatCode>General</formatCode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0.6249468740087694</v>
                </pt>
                <pt idx="5">
                  <v>0.9982778174256464</v>
                </pt>
                <pt idx="6">
                  <v>1.371608760842523</v>
                </pt>
                <pt idx="7">
                  <v>1.7449397042594</v>
                </pt>
                <pt idx="8">
                  <v>4.969965885491463</v>
                </pt>
                <pt idx="9">
                  <v>10.83002533695056</v>
                </pt>
                <pt idx="10">
                  <v>25.53167165800707</v>
                </pt>
                <pt idx="11">
                  <v>30.76738016262741</v>
                </pt>
                <pt idx="12">
                  <v>40.77278623801905</v>
                </pt>
                <pt idx="13">
                  <v>46.26011067323128</v>
                </pt>
                <pt idx="14">
                  <v>56.56202046471031</v>
                </pt>
                <pt idx="15">
                  <v>59.56236567831774</v>
                </pt>
                <pt idx="16">
                  <v>67.0656121404265</v>
                </pt>
                <pt idx="17">
                  <v>75.87522121242149</v>
                </pt>
                <pt idx="18">
                  <v>100</v>
                </pt>
              </numCache>
            </numRef>
          </val>
          <smooth val="0"/>
        </ser>
        <ser>
          <idx val="1"/>
          <order val="1"/>
          <spPr>
            <a:ln xmlns:a="http://schemas.openxmlformats.org/drawingml/2006/main" w="571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val>
            <numRef>
              <f>'kurva S'!$I$69:$AA$69</f>
              <numCache>
                <formatCode>0.00</formatCode>
                <ptCount val="19"/>
                <pt idx="0">
                  <formatCode>General</formatCode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489736159"/>
        <axId val="1"/>
      </lineChart>
      <catAx>
        <axId val="1489736159"/>
        <scaling>
          <orientation val="minMax"/>
        </scaling>
        <delete val="1"/>
        <axPos val="b"/>
        <majorTickMark val="out"/>
        <minorTickMark val="none"/>
        <tickLblPos val="nextTo"/>
        <crossAx val="1"/>
        <crosses val="autoZero"/>
        <auto val="1"/>
        <lblAlgn val="ctr"/>
        <lblOffset val="100"/>
        <noMultiLvlLbl val="0"/>
      </catAx>
      <valAx>
        <axId val="1"/>
        <scaling>
          <orientation val="minMax"/>
          <max val="100"/>
        </scaling>
        <delete val="0"/>
        <axPos val="l"/>
        <numFmt formatCode="General" sourceLinked="1"/>
        <majorTickMark val="none"/>
        <minorTickMark val="none"/>
        <tickLblPos val="high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id-ID"/>
          </a:p>
        </txPr>
        <crossAx val="1489736159"/>
        <crosses val="autoZero"/>
        <crossBetween val="between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1</col>
      <colOff>133350</colOff>
      <row>0</row>
      <rowOff>85725</rowOff>
    </from>
    <to>
      <col>3</col>
      <colOff>114300</colOff>
      <row>2</row>
      <rowOff>57150</rowOff>
    </to>
    <pic>
      <nvPicPr>
        <cNvPr id="210489" name="image1.jpe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14325" y="85725"/>
          <a:ext cx="1466850" cy="4476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11</col>
      <colOff>219075</colOff>
      <row>0</row>
      <rowOff>0</rowOff>
    </from>
    <to>
      <col>12</col>
      <colOff>1285875</colOff>
      <row>3</row>
      <rowOff>57150</rowOff>
    </to>
    <pic>
      <nvPicPr>
        <cNvPr id="210490" name="Picture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886700" y="0"/>
          <a:ext cx="2362200" cy="6762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9</col>
      <colOff>628650</colOff>
      <row>0</row>
      <rowOff>0</rowOff>
    </from>
    <to>
      <col>13</col>
      <colOff>0</colOff>
      <row>2</row>
      <rowOff>104775</rowOff>
    </to>
    <pic>
      <nvPicPr>
        <cNvPr id="211192" name="Picture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486525" y="0"/>
          <a:ext cx="2371725" cy="685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9</col>
      <colOff>590550</colOff>
      <row>0</row>
      <rowOff>0</rowOff>
    </from>
    <to>
      <col>12</col>
      <colOff>742950</colOff>
      <row>2</row>
      <rowOff>95250</rowOff>
    </to>
    <pic>
      <nvPicPr>
        <cNvPr id="214262" name="Picture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677025" y="0"/>
          <a:ext cx="2371725" cy="6762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9</col>
      <colOff>685800</colOff>
      <row>0</row>
      <rowOff>0</rowOff>
    </from>
    <to>
      <col>12</col>
      <colOff>790575</colOff>
      <row>2</row>
      <rowOff>95250</rowOff>
    </to>
    <pic>
      <nvPicPr>
        <cNvPr id="217334" name="Picture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791325" y="0"/>
          <a:ext cx="2362200" cy="6762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10</col>
      <colOff>219075</colOff>
      <row>0</row>
      <rowOff>0</rowOff>
    </from>
    <to>
      <col>13</col>
      <colOff>9525</colOff>
      <row>2</row>
      <rowOff>95250</rowOff>
    </to>
    <pic>
      <nvPicPr>
        <cNvPr id="215289" name="Picture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534150" y="0"/>
          <a:ext cx="2362200" cy="6762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10</col>
      <colOff>247650</colOff>
      <row>0</row>
      <rowOff>0</rowOff>
    </from>
    <to>
      <col>13</col>
      <colOff>38100</colOff>
      <row>2</row>
      <rowOff>95250</rowOff>
    </to>
    <pic>
      <nvPicPr>
        <cNvPr id="381064" name="Picture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562725" y="0"/>
          <a:ext cx="2362200" cy="6762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10</col>
      <colOff>228600</colOff>
      <row>0</row>
      <rowOff>0</rowOff>
    </from>
    <to>
      <col>13</col>
      <colOff>19050</colOff>
      <row>2</row>
      <rowOff>95250</rowOff>
    </to>
    <pic>
      <nvPicPr>
        <cNvPr id="398464" name="Picture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543675" y="0"/>
          <a:ext cx="2362200" cy="6762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8</col>
      <colOff>647700</colOff>
      <row>12</row>
      <rowOff>95250</rowOff>
    </from>
    <to>
      <col>27</col>
      <colOff>809625</colOff>
      <row>64</row>
      <rowOff>28575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/2024/RJBT/penangkal%20petir/progres/RP%2003%2003a%20Tower%20penangkal%20petir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/2025/RJBT/OA%20Tangki/Pekerjaan/AREA%201/AFT%20A.YANI/RO%20JUNI/Cleaning%20Tangki/BOQ%20CLEANING%20TANGKI%20PENDAM%20DPPU%20SMG%20-%20PertaMC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kap"/>
      <sheetName val="boq"/>
      <sheetName val="physical check"/>
      <sheetName val="RPD 03"/>
      <sheetName val="RPD 03a1"/>
      <sheetName val="RPD 03a2"/>
      <sheetName val="RPD 03a3"/>
      <sheetName val="RPD 03a4"/>
      <sheetName val="RPD 03a5"/>
      <sheetName val="RPD 03a6"/>
      <sheetName val="RPD 03a7"/>
      <sheetName val="RPD 03a8"/>
    </sheetNames>
    <sheetDataSet>
      <sheetData sheetId="0" refreshError="1">
        <row r="17">
          <cell r="I17">
            <v>10697298058.062241</v>
          </cell>
          <cell r="J17">
            <v>12821406067.916912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EKAP"/>
      <sheetName val="BOQ"/>
      <sheetName val="KURVA S"/>
      <sheetName val="TKDN A5"/>
      <sheetName val="TKDN A 6"/>
      <sheetName val="back up volume"/>
      <sheetName val="TABEL "/>
      <sheetName val="Analisa"/>
      <sheetName val="Master Jasa"/>
      <sheetName val="Master Material"/>
    </sheetNames>
    <sheetDataSet>
      <sheetData sheetId="0"/>
      <sheetData sheetId="1">
        <row r="3">
          <cell r="A3" t="str">
            <v>Pekerjaan</v>
          </cell>
          <cell r="E3" t="str">
            <v xml:space="preserve">CLEANING TANGKI PENDAM T3, T4, T2, DAN T1 </v>
          </cell>
        </row>
        <row r="4">
          <cell r="A4" t="str">
            <v>Lokasi</v>
          </cell>
          <cell r="E4" t="str">
            <v>DPPU AHMAD YANI SEMARANG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"/>
  <sheetViews>
    <sheetView tabSelected="1" zoomScale="80" zoomScaleNormal="80" workbookViewId="0">
      <selection activeCell="I30" sqref="I30"/>
    </sheetView>
  </sheetViews>
  <sheetFormatPr baseColWidth="8" defaultColWidth="8.875" defaultRowHeight="15"/>
  <cols>
    <col width="4.83984375" customWidth="1" style="274" min="1" max="1"/>
    <col width="4.4375" customWidth="1" style="189" min="2" max="2"/>
    <col width="4.03515625" customWidth="1" style="189" min="3" max="3"/>
    <col width="6.859375" customWidth="1" style="189" min="4" max="4"/>
    <col width="1.8828125" customWidth="1" style="189" min="5" max="5"/>
    <col width="5.24609375" customWidth="1" style="189" min="6" max="6"/>
    <col width="2.82421875" customWidth="1" style="189" min="7" max="7"/>
    <col width="7.12890625" customWidth="1" style="189" min="8" max="8"/>
    <col width="79.3671875" customWidth="1" style="189" min="9" max="9"/>
    <col width="9.28125" customWidth="1" style="189" min="10" max="10"/>
    <col width="14.390625" bestFit="1" customWidth="1" style="562" min="11" max="11"/>
    <col width="13.98828125" bestFit="1" customWidth="1" style="562" min="12" max="12"/>
    <col width="16.6796875" bestFit="1" customWidth="1" style="189" min="13" max="13"/>
    <col width="16.41015625" bestFit="1" customWidth="1" style="189" min="14" max="14"/>
    <col width="16.6796875" bestFit="1" customWidth="1" style="563" min="15" max="15"/>
    <col width="16.41015625" bestFit="1" customWidth="1" style="563" min="16" max="16"/>
    <col width="8.875" customWidth="1" style="189" min="17" max="19"/>
    <col width="19.1015625" customWidth="1" style="189" min="20" max="20"/>
    <col width="17.21875" customWidth="1" style="189" min="21" max="21"/>
    <col width="8.875" customWidth="1" style="189" min="22" max="16384"/>
  </cols>
  <sheetData>
    <row r="1">
      <c r="A1" s="564" t="inlineStr">
        <is>
          <t>RAB RPD 03 Cleaning Tangki 4,3,2,1 AFT A Yani (Updated Final Version)</t>
        </is>
      </c>
    </row>
    <row r="2">
      <c r="A2" s="455" t="inlineStr">
        <is>
          <t>BILL OF QUANTITY</t>
        </is>
      </c>
    </row>
    <row r="3" ht="14.65" customHeight="1">
      <c r="A3" s="193" t="inlineStr">
        <is>
          <t>PEKERJAAN</t>
        </is>
      </c>
      <c r="B3" s="193" t="n"/>
      <c r="C3" s="193" t="n"/>
      <c r="D3" s="193" t="n"/>
      <c r="E3" s="194" t="inlineStr">
        <is>
          <t xml:space="preserve">: </t>
        </is>
      </c>
      <c r="F3" s="194" t="inlineStr">
        <is>
          <t xml:space="preserve">CLEANING TANGKI PENDAM T3, T4, T2, DAN T1 </t>
        </is>
      </c>
      <c r="G3" s="194" t="n"/>
      <c r="H3" s="195" t="n"/>
      <c r="I3" s="195" t="n"/>
      <c r="J3" s="195" t="n"/>
      <c r="K3" s="565" t="n"/>
      <c r="L3" s="565" t="n"/>
      <c r="M3" s="566" t="n"/>
      <c r="N3" s="566" t="n"/>
    </row>
    <row r="4">
      <c r="A4" s="455" t="inlineStr">
        <is>
          <t xml:space="preserve">LOKASI                   </t>
        </is>
      </c>
      <c r="B4" s="455" t="n"/>
      <c r="C4" s="455" t="n"/>
      <c r="D4" s="455" t="n"/>
      <c r="E4" s="198" t="inlineStr">
        <is>
          <t xml:space="preserve">: </t>
        </is>
      </c>
      <c r="F4" s="455" t="inlineStr">
        <is>
          <t>AFT A Yani</t>
        </is>
      </c>
      <c r="G4" s="455" t="n"/>
      <c r="H4" s="199" t="n"/>
      <c r="I4" s="199" t="n"/>
      <c r="J4" s="200" t="n"/>
      <c r="K4" s="567" t="n"/>
      <c r="L4" s="567" t="n"/>
      <c r="M4" s="566" t="n"/>
      <c r="N4" s="566" t="n"/>
    </row>
    <row r="5">
      <c r="A5" s="202" t="n"/>
      <c r="B5" s="199" t="n"/>
      <c r="C5" s="202" t="n"/>
      <c r="D5" s="202" t="n"/>
      <c r="E5" s="202" t="n"/>
      <c r="F5" s="199" t="n"/>
      <c r="G5" s="199" t="n"/>
      <c r="H5" s="199" t="n"/>
      <c r="I5" s="199" t="n"/>
      <c r="J5" s="200" t="n"/>
      <c r="K5" s="567" t="n"/>
      <c r="L5" s="567" t="n"/>
      <c r="M5" s="566" t="n"/>
      <c r="N5" s="566" t="n"/>
    </row>
    <row r="6">
      <c r="A6" s="568" t="inlineStr">
        <is>
          <t>No</t>
        </is>
      </c>
      <c r="B6" s="568" t="inlineStr">
        <is>
          <t>URAIAN PEKERJAAN</t>
        </is>
      </c>
      <c r="C6" s="569" t="n"/>
      <c r="D6" s="569" t="n"/>
      <c r="E6" s="569" t="n"/>
      <c r="F6" s="569" t="n"/>
      <c r="G6" s="569" t="n"/>
      <c r="H6" s="569" t="n"/>
      <c r="I6" s="570" t="n"/>
      <c r="J6" s="571" t="inlineStr">
        <is>
          <t>Satuan</t>
        </is>
      </c>
      <c r="K6" s="572" t="inlineStr">
        <is>
          <t xml:space="preserve">VOLUME </t>
        </is>
      </c>
      <c r="L6" s="569" t="n"/>
      <c r="M6" s="569" t="n"/>
      <c r="N6" s="570" t="n"/>
      <c r="O6" s="573" t="inlineStr">
        <is>
          <t xml:space="preserve">KETERANGAN </t>
        </is>
      </c>
      <c r="P6" s="570" t="n"/>
      <c r="T6" s="203" t="inlineStr">
        <is>
          <t xml:space="preserve">Start MPL </t>
        </is>
      </c>
      <c r="U6" s="204" t="n">
        <v>45499</v>
      </c>
    </row>
    <row r="7">
      <c r="A7" s="574" t="n"/>
      <c r="B7" s="575" t="n"/>
      <c r="I7" s="576" t="n"/>
      <c r="J7" s="576" t="n"/>
      <c r="K7" s="577" t="inlineStr">
        <is>
          <t>KONTRAK</t>
        </is>
      </c>
      <c r="L7" s="578" t="n"/>
      <c r="M7" s="579" t="inlineStr">
        <is>
          <t xml:space="preserve">PELAKSANAAN </t>
        </is>
      </c>
      <c r="N7" s="578" t="n"/>
      <c r="O7" s="580" t="inlineStr">
        <is>
          <t>SELISIH +/-</t>
        </is>
      </c>
      <c r="P7" s="581" t="n"/>
      <c r="T7" s="203" t="inlineStr">
        <is>
          <t xml:space="preserve">MPL </t>
        </is>
      </c>
      <c r="U7" s="203" t="n">
        <v>210</v>
      </c>
    </row>
    <row r="8">
      <c r="A8" s="574" t="n"/>
      <c r="B8" s="575" t="n"/>
      <c r="I8" s="576" t="n"/>
      <c r="J8" s="576" t="n"/>
      <c r="K8" s="582" t="inlineStr">
        <is>
          <t xml:space="preserve">MATERIAL </t>
        </is>
      </c>
      <c r="L8" s="582" t="inlineStr">
        <is>
          <t xml:space="preserve"> JASA</t>
        </is>
      </c>
      <c r="M8" s="583" t="inlineStr">
        <is>
          <t>MATERIAL</t>
        </is>
      </c>
      <c r="N8" s="583" t="inlineStr">
        <is>
          <t xml:space="preserve"> JASA</t>
        </is>
      </c>
      <c r="O8" s="584" t="inlineStr">
        <is>
          <t>MATERIAL</t>
        </is>
      </c>
      <c r="P8" s="584" t="inlineStr">
        <is>
          <t>JASA</t>
        </is>
      </c>
      <c r="T8" s="203" t="inlineStr">
        <is>
          <t xml:space="preserve">bulan berjalan </t>
        </is>
      </c>
      <c r="U8" s="204" t="n">
        <v>45529</v>
      </c>
    </row>
    <row r="9">
      <c r="A9" s="208" t="inlineStr">
        <is>
          <t>I</t>
        </is>
      </c>
      <c r="B9" s="585" t="inlineStr">
        <is>
          <t>PEKERJAAN PERSIAPAN</t>
        </is>
      </c>
      <c r="C9" s="586" t="n"/>
      <c r="D9" s="586" t="n"/>
      <c r="E9" s="587" t="n"/>
      <c r="F9" s="587" t="n"/>
      <c r="G9" s="587" t="n"/>
      <c r="H9" s="587" t="n"/>
      <c r="I9" s="588" t="n"/>
      <c r="J9" s="589" t="n"/>
      <c r="K9" s="590" t="n"/>
      <c r="L9" s="591" t="n"/>
      <c r="M9" s="592" t="n"/>
      <c r="N9" s="592" t="n"/>
      <c r="O9" s="593" t="n"/>
      <c r="P9" s="593" t="n"/>
      <c r="T9" s="203" t="n"/>
      <c r="U9" s="203">
        <f>U8-U6</f>
        <v/>
      </c>
    </row>
    <row r="10">
      <c r="A10" s="276" t="n"/>
      <c r="B10" s="594" t="inlineStr">
        <is>
          <t>A</t>
        </is>
      </c>
      <c r="C10" s="294" t="inlineStr">
        <is>
          <t>PEKERJAAN PERSIAPAN</t>
        </is>
      </c>
      <c r="D10" s="294" t="n"/>
      <c r="E10" s="219" t="n"/>
      <c r="F10" s="219" t="n"/>
      <c r="G10" s="219" t="n"/>
      <c r="H10" s="219" t="n"/>
      <c r="I10" s="220" t="n"/>
      <c r="J10" s="595" t="n"/>
      <c r="K10" s="596" t="n"/>
      <c r="L10" s="597" t="n"/>
      <c r="M10" s="598" t="n"/>
      <c r="N10" s="599" t="n"/>
      <c r="O10" s="600" t="n"/>
      <c r="P10" s="600" t="n"/>
      <c r="Q10" s="236" t="n"/>
      <c r="R10" s="236" t="n"/>
      <c r="T10" s="203" t="inlineStr">
        <is>
          <t>persentase</t>
        </is>
      </c>
      <c r="U10" s="226">
        <f>U9/U7</f>
        <v/>
      </c>
    </row>
    <row r="11">
      <c r="A11" s="276" t="n"/>
      <c r="B11" s="601" t="n"/>
      <c r="C11" s="295" t="inlineStr">
        <is>
          <t>a.1</t>
        </is>
      </c>
      <c r="D11" s="602" t="inlineStr">
        <is>
          <t>Direksi Kit Kelas 3</t>
        </is>
      </c>
      <c r="E11" s="603" t="n"/>
      <c r="F11" s="603" t="n"/>
      <c r="G11" s="603" t="n"/>
      <c r="H11" s="295" t="n"/>
      <c r="I11" s="604" t="n"/>
      <c r="J11" s="605" t="inlineStr">
        <is>
          <t>m2</t>
        </is>
      </c>
      <c r="K11" s="606" t="n"/>
      <c r="L11" s="606" t="n">
        <v>9</v>
      </c>
      <c r="M11" s="607" t="n"/>
      <c r="N11" s="608" t="n"/>
      <c r="O11" s="600">
        <f>M11-K11</f>
        <v/>
      </c>
      <c r="P11" s="600">
        <f>N11-L11</f>
        <v/>
      </c>
      <c r="Q11" s="236">
        <f>IF(K11=0,0,IF(M11/K11&lt;1,M11/K11,100%))</f>
        <v/>
      </c>
      <c r="R11" s="236">
        <f>IF(L11=0,0,IF(N11/L11&lt;1,N11/L11,100%))</f>
        <v/>
      </c>
    </row>
    <row r="12">
      <c r="A12" s="276" t="n"/>
      <c r="B12" s="601" t="inlineStr">
        <is>
          <t>B</t>
        </is>
      </c>
      <c r="C12" s="294" t="inlineStr">
        <is>
          <t>PERALATAN PENDUKUNG</t>
        </is>
      </c>
      <c r="D12" s="294" t="n"/>
      <c r="E12" s="219" t="n"/>
      <c r="F12" s="219" t="n"/>
      <c r="G12" s="219" t="n"/>
      <c r="H12" s="219" t="n"/>
      <c r="I12" s="220" t="n"/>
      <c r="J12" s="605" t="n"/>
      <c r="K12" s="606" t="n"/>
      <c r="L12" s="606" t="n"/>
      <c r="M12" s="607" t="n"/>
      <c r="N12" s="608" t="n"/>
      <c r="O12" s="600" t="n"/>
      <c r="P12" s="600" t="n"/>
      <c r="Q12" s="236" t="n"/>
      <c r="R12" s="236" t="n"/>
    </row>
    <row r="13">
      <c r="A13" s="276" t="n"/>
      <c r="B13" s="601" t="n"/>
      <c r="C13" s="295" t="inlineStr">
        <is>
          <t>b.1</t>
        </is>
      </c>
      <c r="D13" s="602" t="inlineStr">
        <is>
          <t>Sewa Blower Explossion Proof Portable</t>
        </is>
      </c>
      <c r="E13" s="603" t="n"/>
      <c r="F13" s="603" t="n"/>
      <c r="G13" s="603" t="n"/>
      <c r="H13" s="603" t="n"/>
      <c r="I13" s="604" t="n"/>
      <c r="J13" s="605" t="inlineStr">
        <is>
          <t>UD</t>
        </is>
      </c>
      <c r="K13" s="609" t="n"/>
      <c r="L13" s="609" t="n">
        <v>20</v>
      </c>
      <c r="M13" s="607" t="n"/>
      <c r="N13" s="608" t="n"/>
      <c r="O13" s="600">
        <f>M13-K13</f>
        <v/>
      </c>
      <c r="P13" s="600">
        <f>N13-L13</f>
        <v/>
      </c>
      <c r="Q13" s="236">
        <f>IF(K13=0,0,IF(M13/K13&lt;1,M13/K13,100%))</f>
        <v/>
      </c>
      <c r="R13" s="236">
        <f>IF(L13=0,0,IF(N13/L13&lt;1,N13/L13,100%))</f>
        <v/>
      </c>
    </row>
    <row r="14">
      <c r="A14" s="276" t="n"/>
      <c r="B14" s="601" t="n"/>
      <c r="C14" s="295" t="inlineStr">
        <is>
          <t>b.2</t>
        </is>
      </c>
      <c r="D14" s="602" t="inlineStr">
        <is>
          <t>Sewa Gas Tester</t>
        </is>
      </c>
      <c r="E14" s="610" t="n"/>
      <c r="F14" s="610" t="n"/>
      <c r="G14" s="610" t="n"/>
      <c r="H14" s="602" t="n"/>
      <c r="I14" s="611" t="n"/>
      <c r="J14" s="605" t="inlineStr">
        <is>
          <t>UD</t>
        </is>
      </c>
      <c r="K14" s="606" t="n"/>
      <c r="L14" s="609" t="n">
        <v>20</v>
      </c>
      <c r="M14" s="607" t="n"/>
      <c r="N14" s="608" t="n"/>
      <c r="O14" s="600">
        <f>M14-K14</f>
        <v/>
      </c>
      <c r="P14" s="600">
        <f>N14-L14</f>
        <v/>
      </c>
      <c r="Q14" s="236">
        <f>IF(K14=0,0,IF(M14/K14&lt;1,M14/K14,100%))</f>
        <v/>
      </c>
      <c r="R14" s="236">
        <f>IF(L14=0,0,IF(N14/L14&lt;1,N14/L14,100%))</f>
        <v/>
      </c>
    </row>
    <row r="15">
      <c r="A15" s="276" t="n"/>
      <c r="B15" s="601" t="n"/>
      <c r="C15" s="295" t="inlineStr">
        <is>
          <t>b.3</t>
        </is>
      </c>
      <c r="D15" s="602" t="inlineStr">
        <is>
          <t>Sewa Apar Powder 9 Kg</t>
        </is>
      </c>
      <c r="E15" s="610" t="n"/>
      <c r="F15" s="610" t="n"/>
      <c r="G15" s="610" t="n"/>
      <c r="H15" s="602" t="n"/>
      <c r="I15" s="611" t="n"/>
      <c r="J15" s="605" t="inlineStr">
        <is>
          <t>UD</t>
        </is>
      </c>
      <c r="K15" s="606" t="n"/>
      <c r="L15" s="609" t="n">
        <v>40</v>
      </c>
      <c r="M15" s="607" t="n"/>
      <c r="N15" s="608" t="n"/>
      <c r="O15" s="600">
        <f>M15-K15</f>
        <v/>
      </c>
      <c r="P15" s="600">
        <f>N15-L15</f>
        <v/>
      </c>
      <c r="Q15" s="236">
        <f>IF(K15=0,0,IF(M15/K15&lt;1,M15/K15,100%))</f>
        <v/>
      </c>
      <c r="R15" s="236">
        <f>IF(L15=0,0,IF(N15/L15&lt;1,N15/L15,100%))</f>
        <v/>
      </c>
    </row>
    <row r="16">
      <c r="A16" s="276" t="n"/>
      <c r="B16" s="601" t="n"/>
      <c r="C16" s="295" t="inlineStr">
        <is>
          <t>b.4</t>
        </is>
      </c>
      <c r="D16" s="602" t="inlineStr">
        <is>
          <t xml:space="preserve">Sewa Kompresor </t>
        </is>
      </c>
      <c r="E16" s="610" t="n"/>
      <c r="F16" s="610" t="n"/>
      <c r="G16" s="610" t="n"/>
      <c r="H16" s="602" t="n"/>
      <c r="I16" s="611" t="n"/>
      <c r="J16" s="605" t="inlineStr">
        <is>
          <t>UD</t>
        </is>
      </c>
      <c r="K16" s="606" t="n"/>
      <c r="L16" s="609" t="n">
        <v>12</v>
      </c>
      <c r="M16" s="607" t="n"/>
      <c r="N16" s="608" t="n"/>
      <c r="O16" s="600">
        <f>M16-K16</f>
        <v/>
      </c>
      <c r="P16" s="600">
        <f>N16-L16</f>
        <v/>
      </c>
      <c r="Q16" s="236">
        <f>IF(K16=0,0,IF(M16/K16&lt;1,M16/K16,100%))</f>
        <v/>
      </c>
      <c r="R16" s="236">
        <f>IF(L16=0,0,IF(N16/L16&lt;1,N16/L16,100%))</f>
        <v/>
      </c>
    </row>
    <row r="17">
      <c r="A17" s="612" t="n"/>
      <c r="B17" s="613" t="n"/>
      <c r="C17" s="245" t="n"/>
      <c r="D17" s="614" t="n"/>
      <c r="E17" s="615" t="n"/>
      <c r="F17" s="615" t="n"/>
      <c r="G17" s="615" t="n"/>
      <c r="H17" s="615" t="n"/>
      <c r="I17" s="616" t="inlineStr">
        <is>
          <t>Total I</t>
        </is>
      </c>
      <c r="J17" s="617" t="n"/>
      <c r="K17" s="618" t="n"/>
      <c r="L17" s="619" t="n"/>
      <c r="M17" s="620" t="n">
        <v>0</v>
      </c>
      <c r="N17" s="621">
        <f>SUM(N10:N16)</f>
        <v/>
      </c>
      <c r="O17" s="621">
        <f>M17/[1]rekap!$I$17</f>
        <v/>
      </c>
      <c r="P17" s="621">
        <f>N17/[1]rekap!$J$17</f>
        <v/>
      </c>
    </row>
    <row r="18">
      <c r="A18" s="208" t="inlineStr">
        <is>
          <t>II</t>
        </is>
      </c>
      <c r="B18" s="585" t="inlineStr">
        <is>
          <t>PEKERJAAN ENGINEERING DAN PROJECT MANAGEMENT</t>
        </is>
      </c>
      <c r="C18" s="586" t="n"/>
      <c r="D18" s="586" t="n"/>
      <c r="E18" s="587" t="n"/>
      <c r="F18" s="587" t="n"/>
      <c r="G18" s="587" t="n"/>
      <c r="H18" s="587" t="n"/>
      <c r="I18" s="588" t="n"/>
      <c r="J18" s="589" t="n"/>
      <c r="K18" s="590" t="n"/>
      <c r="L18" s="591" t="n"/>
      <c r="M18" s="592" t="n"/>
      <c r="N18" s="592" t="n"/>
      <c r="O18" s="593" t="n"/>
      <c r="P18" s="593" t="n"/>
    </row>
    <row r="19">
      <c r="A19" s="258" t="n"/>
      <c r="B19" s="601" t="inlineStr">
        <is>
          <t>A</t>
        </is>
      </c>
      <c r="C19" s="602" t="inlineStr">
        <is>
          <t>Pemenuhan Dokumen Project &amp; Engineering</t>
        </is>
      </c>
      <c r="D19" s="602" t="n"/>
      <c r="E19" s="603" t="n"/>
      <c r="F19" s="603" t="n"/>
      <c r="G19" s="603" t="n"/>
      <c r="H19" s="603" t="n"/>
      <c r="I19" s="604" t="n"/>
      <c r="J19" s="605" t="n"/>
      <c r="K19" s="622" t="n"/>
      <c r="L19" s="606" t="n"/>
      <c r="M19" s="623" t="n"/>
      <c r="N19" s="608" t="n"/>
      <c r="O19" s="600" t="n"/>
      <c r="P19" s="600" t="n"/>
      <c r="Q19" s="236" t="n"/>
      <c r="R19" s="236" t="n"/>
    </row>
    <row r="20">
      <c r="A20" s="258" t="n"/>
      <c r="B20" s="601" t="n"/>
      <c r="C20" s="602" t="inlineStr">
        <is>
          <t>a.1</t>
        </is>
      </c>
      <c r="D20" s="602" t="inlineStr">
        <is>
          <t>Laporan Teknis dan HSSE Bulanan (1 set/project)</t>
        </is>
      </c>
      <c r="E20" s="603" t="n"/>
      <c r="F20" s="603" t="n"/>
      <c r="G20" s="603" t="n"/>
      <c r="H20" s="603" t="n"/>
      <c r="I20" s="604" t="n"/>
      <c r="J20" s="605" t="inlineStr">
        <is>
          <t>set</t>
        </is>
      </c>
      <c r="K20" s="622" t="n"/>
      <c r="L20" s="606" t="n">
        <v>1</v>
      </c>
      <c r="M20" s="623" t="n"/>
      <c r="N20" s="608" t="n"/>
      <c r="O20" s="600">
        <f>M20-K20</f>
        <v/>
      </c>
      <c r="P20" s="600">
        <f>N20-L20</f>
        <v/>
      </c>
      <c r="Q20" s="236">
        <f>IF(K20=0,0,IF(M20/K20&lt;1,M20/K20,100%))</f>
        <v/>
      </c>
      <c r="R20" s="236">
        <f>IF(L20=0,0,IF(N20/L20&lt;1,N20/L20,100%))</f>
        <v/>
      </c>
    </row>
    <row r="21">
      <c r="A21" s="258" t="n"/>
      <c r="B21" s="601" t="n"/>
      <c r="C21" s="602" t="inlineStr">
        <is>
          <t>a.2</t>
        </is>
      </c>
      <c r="D21" s="189" t="inlineStr">
        <is>
          <t>MCU personil</t>
        </is>
      </c>
      <c r="H21" s="624" t="n"/>
      <c r="I21" s="625" t="n"/>
      <c r="J21" s="605" t="inlineStr">
        <is>
          <t>org</t>
        </is>
      </c>
      <c r="K21" s="622" t="n"/>
      <c r="L21" s="606" t="n">
        <v>5</v>
      </c>
      <c r="M21" s="623" t="n"/>
      <c r="N21" s="608" t="n"/>
      <c r="O21" s="600">
        <f>M21-K21</f>
        <v/>
      </c>
      <c r="P21" s="600">
        <f>N21-L21</f>
        <v/>
      </c>
      <c r="Q21" s="236">
        <f>IF(K21=0,0,IF(M21/K21&lt;1,M21/K21,100%))</f>
        <v/>
      </c>
      <c r="R21" s="236">
        <f>IF(L21=0,0,IF(N21/L21&lt;1,N21/L21,100%))</f>
        <v/>
      </c>
    </row>
    <row r="22">
      <c r="A22" s="258" t="n"/>
      <c r="B22" s="601" t="n"/>
      <c r="C22" s="602" t="inlineStr">
        <is>
          <t>a.3</t>
        </is>
      </c>
      <c r="D22" s="189" t="inlineStr">
        <is>
          <t>Inspection Report</t>
        </is>
      </c>
      <c r="H22" s="624" t="n"/>
      <c r="I22" s="625" t="n"/>
      <c r="J22" s="605" t="inlineStr">
        <is>
          <t>set</t>
        </is>
      </c>
      <c r="K22" s="622" t="n"/>
      <c r="L22" s="606" t="n">
        <v>1</v>
      </c>
      <c r="M22" s="623" t="n"/>
      <c r="N22" s="608" t="n"/>
      <c r="O22" s="600">
        <f>M22-K22</f>
        <v/>
      </c>
      <c r="P22" s="600">
        <f>N22-L22</f>
        <v/>
      </c>
      <c r="Q22" s="236">
        <f>IF(K22=0,0,IF(M22/K22&lt;1,M22/K22,100%))</f>
        <v/>
      </c>
      <c r="R22" s="236">
        <f>IF(L22=0,0,IF(N22/L22&lt;1,N22/L22,100%))</f>
        <v/>
      </c>
    </row>
    <row r="23">
      <c r="A23" s="258" t="n"/>
      <c r="B23" s="601" t="inlineStr">
        <is>
          <t>B</t>
        </is>
      </c>
      <c r="C23" s="602" t="inlineStr">
        <is>
          <t>Project Management (Kualifikasi dan Jumlah Personil sesuai dengan Kriteria Evaluasi Teknis dalam RKS)</t>
        </is>
      </c>
      <c r="H23" s="624" t="n"/>
      <c r="I23" s="625" t="n"/>
      <c r="J23" s="605" t="n"/>
      <c r="K23" s="626" t="n"/>
      <c r="L23" s="609" t="n"/>
      <c r="M23" s="623" t="n"/>
      <c r="N23" s="623" t="n"/>
      <c r="O23" s="600" t="n"/>
      <c r="P23" s="600" t="n"/>
      <c r="Q23" s="236" t="n"/>
      <c r="R23" s="236" t="n"/>
    </row>
    <row r="24">
      <c r="A24" s="258" t="n"/>
      <c r="B24" s="601" t="n"/>
      <c r="C24" s="602" t="inlineStr">
        <is>
          <t>b.1</t>
        </is>
      </c>
      <c r="D24" s="602" t="inlineStr">
        <is>
          <t>Safetyman</t>
        </is>
      </c>
      <c r="E24" s="603" t="n"/>
      <c r="F24" s="603" t="n"/>
      <c r="G24" s="603" t="n"/>
      <c r="H24" s="603" t="n"/>
      <c r="I24" s="604" t="n"/>
      <c r="J24" s="605" t="inlineStr">
        <is>
          <t>MD</t>
        </is>
      </c>
      <c r="K24" s="626" t="n"/>
      <c r="L24" s="609" t="n">
        <v>40</v>
      </c>
      <c r="M24" s="623" t="n"/>
      <c r="N24" s="623" t="n"/>
      <c r="O24" s="600">
        <f>M24-K24</f>
        <v/>
      </c>
      <c r="P24" s="600">
        <f>N24-L24</f>
        <v/>
      </c>
      <c r="Q24" s="236">
        <f>IF(K24=0,0,IF(M24/K24&lt;1,M24/K24,100%))</f>
        <v/>
      </c>
      <c r="R24" s="236">
        <f>IF(L24=0,0,IF(N24/L24&lt;1,N24/L24,100%))</f>
        <v/>
      </c>
    </row>
    <row r="25">
      <c r="A25" s="612" t="n"/>
      <c r="B25" s="613" t="n"/>
      <c r="C25" s="245" t="n"/>
      <c r="D25" s="614" t="n"/>
      <c r="E25" s="615" t="n"/>
      <c r="F25" s="615" t="n"/>
      <c r="G25" s="615" t="n"/>
      <c r="H25" s="615" t="n"/>
      <c r="I25" s="616" t="inlineStr">
        <is>
          <t>Total II</t>
        </is>
      </c>
      <c r="J25" s="617" t="n"/>
      <c r="K25" s="618" t="n"/>
      <c r="L25" s="619" t="n"/>
      <c r="M25" s="620">
        <f>SUM(M18:M24)</f>
        <v/>
      </c>
      <c r="N25" s="620">
        <f>SUM(N18:N24)</f>
        <v/>
      </c>
      <c r="O25" s="621">
        <f>M25/[1]rekap!$I$17</f>
        <v/>
      </c>
      <c r="P25" s="621">
        <f>N25/[1]rekap!$J$17</f>
        <v/>
      </c>
    </row>
    <row r="26">
      <c r="A26" s="254" t="inlineStr">
        <is>
          <t>III</t>
        </is>
      </c>
      <c r="B26" s="627" t="inlineStr">
        <is>
          <t>CLEANING TANGKI TIMBUN</t>
        </is>
      </c>
      <c r="C26" s="602" t="n"/>
      <c r="D26" s="624" t="n"/>
      <c r="E26" s="603" t="n"/>
      <c r="F26" s="603" t="n"/>
      <c r="G26" s="603" t="n"/>
      <c r="H26" s="603" t="n"/>
      <c r="I26" s="604" t="n"/>
      <c r="J26" s="605" t="n"/>
      <c r="K26" s="626" t="n"/>
      <c r="L26" s="609" t="n"/>
      <c r="M26" s="607" t="n"/>
      <c r="N26" s="628" t="n"/>
      <c r="O26" s="600" t="n"/>
      <c r="P26" s="600" t="n"/>
    </row>
    <row r="27">
      <c r="A27" s="254" t="n"/>
      <c r="B27" s="601" t="inlineStr">
        <is>
          <t>A</t>
        </is>
      </c>
      <c r="C27" s="602" t="inlineStr">
        <is>
          <t>JASA</t>
        </is>
      </c>
      <c r="D27" s="602" t="n"/>
      <c r="E27" s="603" t="n"/>
      <c r="F27" s="603" t="n"/>
      <c r="G27" s="603" t="n"/>
      <c r="H27" s="603" t="n"/>
      <c r="I27" s="604" t="n"/>
      <c r="J27" s="605" t="n"/>
      <c r="K27" s="626" t="n"/>
      <c r="L27" s="609" t="n"/>
      <c r="M27" s="607" t="n"/>
      <c r="N27" s="628" t="n"/>
      <c r="O27" s="600" t="n"/>
      <c r="P27" s="600" t="n"/>
    </row>
    <row r="28">
      <c r="A28" s="277" t="n"/>
      <c r="B28" s="601" t="n"/>
      <c r="C28" s="602" t="inlineStr">
        <is>
          <t>b.1</t>
        </is>
      </c>
      <c r="D28" s="602" t="inlineStr">
        <is>
          <t>Pekerjaan Free Gas Tangki Timbun incl report</t>
        </is>
      </c>
      <c r="E28" s="603" t="n"/>
      <c r="F28" s="603" t="n"/>
      <c r="G28" s="603" t="n"/>
      <c r="H28" s="603" t="n"/>
      <c r="I28" s="604" t="n"/>
      <c r="J28" s="605" t="inlineStr">
        <is>
          <t>Day</t>
        </is>
      </c>
      <c r="K28" s="622" t="n"/>
      <c r="L28" s="629" t="n">
        <v>8</v>
      </c>
      <c r="M28" s="607" t="n"/>
      <c r="N28" s="628" t="n"/>
      <c r="O28" s="600">
        <f>M28-K28</f>
        <v/>
      </c>
      <c r="P28" s="600">
        <f>N28-L28</f>
        <v/>
      </c>
      <c r="Q28" s="236">
        <f>IF(K28=0,0,IF(M28/K28&lt;1,M28/K28,100%))</f>
        <v/>
      </c>
      <c r="R28" s="236">
        <f>IF(L28=0,0,IF(N28/L28&lt;1,N28/L28,100%))</f>
        <v/>
      </c>
    </row>
    <row r="29">
      <c r="A29" s="277" t="n"/>
      <c r="B29" s="601" t="n"/>
      <c r="C29" s="602" t="inlineStr">
        <is>
          <t>b.2</t>
        </is>
      </c>
      <c r="D29" s="189" t="inlineStr">
        <is>
          <t>Drain Produk Isi Pipa Avtur / Pertalite / Pertamax / Px.Turbo / Solar / Fame / Dex / Dexlite dan lainnya selain MDO/MFO</t>
        </is>
      </c>
      <c r="F29" s="603" t="n"/>
      <c r="G29" s="603" t="n"/>
      <c r="H29" s="624" t="n"/>
      <c r="I29" s="603" t="n"/>
      <c r="J29" s="605" t="inlineStr">
        <is>
          <t>liter</t>
        </is>
      </c>
      <c r="K29" s="622" t="n"/>
      <c r="L29" s="629" t="n">
        <v>11975</v>
      </c>
      <c r="M29" s="607" t="n"/>
      <c r="N29" s="628" t="n"/>
      <c r="O29" s="600">
        <f>M29-K29</f>
        <v/>
      </c>
      <c r="P29" s="600">
        <f>N29-L29</f>
        <v/>
      </c>
      <c r="Q29" s="236">
        <f>IF(K29=0,0,IF(M29/K29&lt;1,M29/K29,100%))</f>
        <v/>
      </c>
      <c r="R29" s="236">
        <f>IF(L29=0,0,IF(N29/L29&lt;1,N29/L29,100%))</f>
        <v/>
      </c>
    </row>
    <row r="30">
      <c r="A30" s="277" t="n"/>
      <c r="B30" s="601" t="n"/>
      <c r="C30" s="602" t="inlineStr">
        <is>
          <t>b.3</t>
        </is>
      </c>
      <c r="D30" s="189" t="inlineStr">
        <is>
          <t xml:space="preserve">Pemindahan drum isi produk ex drain ke sumptank </t>
        </is>
      </c>
      <c r="F30" s="603" t="n"/>
      <c r="G30" s="603" t="n"/>
      <c r="H30" s="624" t="n"/>
      <c r="I30" s="603" t="n"/>
      <c r="J30" s="605" t="inlineStr">
        <is>
          <t>liter</t>
        </is>
      </c>
      <c r="K30" s="622" t="n"/>
      <c r="L30" s="629" t="n">
        <v>11975</v>
      </c>
      <c r="M30" s="607" t="n"/>
      <c r="N30" s="628" t="n"/>
      <c r="O30" s="600">
        <f>M30-K30</f>
        <v/>
      </c>
      <c r="P30" s="600">
        <f>N30-L30</f>
        <v/>
      </c>
      <c r="Q30" s="236">
        <f>IF(K30=0,0,IF(M30/K30&lt;1,M30/K30,100%))</f>
        <v/>
      </c>
      <c r="R30" s="236">
        <f>IF(L30=0,0,IF(N30/L30&lt;1,N30/L30,100%))</f>
        <v/>
      </c>
    </row>
    <row r="31">
      <c r="A31" s="277" t="n"/>
      <c r="B31" s="601" t="n"/>
      <c r="C31" s="602" t="inlineStr">
        <is>
          <t>b.4</t>
        </is>
      </c>
      <c r="D31" s="189" t="inlineStr">
        <is>
          <t>Pencucian tangki timbun (diluar material air, solven dan sabun)</t>
        </is>
      </c>
      <c r="F31" s="603" t="n"/>
      <c r="G31" s="603" t="n"/>
      <c r="H31" s="624" t="n"/>
      <c r="I31" s="603" t="n"/>
      <c r="J31" s="605" t="inlineStr">
        <is>
          <t>m²</t>
        </is>
      </c>
      <c r="K31" s="622" t="n"/>
      <c r="L31" s="629" t="n">
        <v>378.7202510273111</v>
      </c>
      <c r="M31" s="607" t="n"/>
      <c r="N31" s="628" t="n"/>
      <c r="O31" s="600">
        <f>M31-K31</f>
        <v/>
      </c>
      <c r="P31" s="600">
        <f>N31-L31</f>
        <v/>
      </c>
      <c r="Q31" s="236">
        <f>IF(K31=0,0,IF(M31/K31&lt;1,M31/K31,100%))</f>
        <v/>
      </c>
      <c r="R31" s="236">
        <f>IF(L31=0,0,IF(N31/L31&lt;1,N31/L31,100%))</f>
        <v/>
      </c>
    </row>
    <row r="32">
      <c r="A32" s="612" t="n"/>
      <c r="B32" s="613" t="n"/>
      <c r="C32" s="245" t="n"/>
      <c r="D32" s="614" t="n"/>
      <c r="E32" s="615" t="n"/>
      <c r="F32" s="615" t="n"/>
      <c r="G32" s="615" t="n"/>
      <c r="H32" s="615" t="n"/>
      <c r="I32" s="616" t="inlineStr">
        <is>
          <t>Total III</t>
        </is>
      </c>
      <c r="J32" s="617" t="n"/>
      <c r="K32" s="618" t="n"/>
      <c r="L32" s="619" t="n"/>
      <c r="M32" s="620">
        <f>SUM(M26:M31)</f>
        <v/>
      </c>
      <c r="N32" s="620">
        <f>SUM(N26:N31)</f>
        <v/>
      </c>
      <c r="O32" s="621">
        <f>M32/[1]rekap!$I$17</f>
        <v/>
      </c>
      <c r="P32" s="621">
        <f>N32/[1]rekap!$J$17</f>
        <v/>
      </c>
      <c r="Q32" s="236" t="n"/>
      <c r="R32" s="236" t="n"/>
    </row>
    <row r="33">
      <c r="A33" s="254" t="inlineStr">
        <is>
          <t>IV</t>
        </is>
      </c>
      <c r="B33" s="627" t="inlineStr">
        <is>
          <t>PEKERJAAN ACCESORIS TANGKI</t>
        </is>
      </c>
      <c r="C33" s="602" t="n"/>
      <c r="D33" s="624" t="n"/>
      <c r="E33" s="603" t="n"/>
      <c r="F33" s="603" t="n"/>
      <c r="G33" s="603" t="n"/>
      <c r="H33" s="603" t="n"/>
      <c r="I33" s="604" t="n"/>
      <c r="J33" s="605" t="n"/>
      <c r="K33" s="630" t="n"/>
      <c r="L33" s="630" t="n"/>
      <c r="M33" s="607" t="n"/>
      <c r="N33" s="628" t="n"/>
      <c r="O33" s="600" t="n"/>
      <c r="P33" s="600" t="n"/>
      <c r="Q33" s="236" t="n"/>
      <c r="R33" s="236" t="n"/>
    </row>
    <row r="34">
      <c r="A34" s="258" t="n"/>
      <c r="B34" s="601" t="inlineStr">
        <is>
          <t>A</t>
        </is>
      </c>
      <c r="C34" s="602" t="inlineStr">
        <is>
          <t>MATERIAL</t>
        </is>
      </c>
      <c r="D34" s="602" t="n"/>
      <c r="E34" s="603" t="n"/>
      <c r="F34" s="603" t="n"/>
      <c r="G34" s="603" t="n"/>
      <c r="H34" s="603" t="n"/>
      <c r="I34" s="604" t="n"/>
      <c r="J34" s="605" t="n"/>
      <c r="K34" s="630" t="n"/>
      <c r="L34" s="630" t="n"/>
      <c r="M34" s="607" t="n"/>
      <c r="N34" s="628" t="n"/>
      <c r="O34" s="600" t="n"/>
      <c r="P34" s="600" t="n"/>
      <c r="Q34" s="236" t="n"/>
      <c r="R34" s="236" t="n"/>
    </row>
    <row r="35">
      <c r="A35" s="258" t="n"/>
      <c r="B35" s="601" t="n"/>
      <c r="C35" s="602" t="inlineStr">
        <is>
          <t>a.1</t>
        </is>
      </c>
      <c r="D35" s="602" t="inlineStr">
        <is>
          <t>Gasket Spiral Wound #150 SS316L 4"</t>
        </is>
      </c>
      <c r="E35" s="603" t="n"/>
      <c r="F35" s="603" t="n"/>
      <c r="G35" s="603" t="n"/>
      <c r="H35" s="603" t="n"/>
      <c r="I35" s="604" t="n"/>
      <c r="J35" s="605" t="inlineStr">
        <is>
          <t>pc</t>
        </is>
      </c>
      <c r="K35" s="630" t="n">
        <v>24</v>
      </c>
      <c r="L35" s="630" t="n"/>
      <c r="M35" s="607" t="n"/>
      <c r="N35" s="628" t="n"/>
      <c r="O35" s="600">
        <f>M35-K35</f>
        <v/>
      </c>
      <c r="P35" s="600">
        <f>N35-L35</f>
        <v/>
      </c>
      <c r="Q35" s="236">
        <f>IF(K35=0,0,IF(M35/K35&lt;1,M35/K35,100%))</f>
        <v/>
      </c>
      <c r="R35" s="236">
        <f>IF(L35=0,0,IF(N35/L35&lt;1,N35/L35,100%))</f>
        <v/>
      </c>
    </row>
    <row r="36">
      <c r="A36" s="277" t="n"/>
      <c r="B36" s="601" t="n"/>
      <c r="C36" s="602" t="inlineStr">
        <is>
          <t>a.2</t>
        </is>
      </c>
      <c r="D36" s="602" t="inlineStr">
        <is>
          <t>Packing  Klingerit 1000 5mmx2mx1,5m</t>
        </is>
      </c>
      <c r="E36" s="603" t="n"/>
      <c r="F36" s="603" t="n"/>
      <c r="G36" s="603" t="n"/>
      <c r="H36" s="603" t="n"/>
      <c r="I36" s="604" t="n"/>
      <c r="J36" s="605" t="inlineStr">
        <is>
          <t>lembar</t>
        </is>
      </c>
      <c r="K36" s="630" t="n">
        <v>4</v>
      </c>
      <c r="L36" s="630" t="n"/>
      <c r="M36" s="607" t="n"/>
      <c r="N36" s="628" t="n"/>
      <c r="O36" s="600">
        <f>M36-K36</f>
        <v/>
      </c>
      <c r="P36" s="600">
        <f>N36-L36</f>
        <v/>
      </c>
      <c r="Q36" s="236">
        <f>IF(K36=0,0,IF(M36/K36&lt;1,M36/K36,100%))</f>
        <v/>
      </c>
      <c r="R36" s="236">
        <f>IF(L36=0,0,IF(N36/L36&lt;1,N36/L36,100%))</f>
        <v/>
      </c>
    </row>
    <row r="37">
      <c r="A37" s="277" t="n"/>
      <c r="B37" s="601" t="inlineStr">
        <is>
          <t>B</t>
        </is>
      </c>
      <c r="C37" s="602" t="inlineStr">
        <is>
          <t>JASA</t>
        </is>
      </c>
      <c r="D37" s="602" t="n"/>
      <c r="E37" s="603" t="n"/>
      <c r="F37" s="603" t="n"/>
      <c r="G37" s="603" t="n"/>
      <c r="H37" s="603" t="n"/>
      <c r="I37" s="604" t="n"/>
      <c r="J37" s="605" t="n"/>
      <c r="K37" s="630" t="n"/>
      <c r="L37" s="630" t="n"/>
      <c r="M37" s="607" t="n"/>
      <c r="N37" s="628" t="n"/>
      <c r="O37" s="600" t="n"/>
      <c r="P37" s="600" t="n"/>
      <c r="Q37" s="236" t="n"/>
      <c r="R37" s="236" t="n"/>
    </row>
    <row r="38">
      <c r="A38" s="258" t="n"/>
      <c r="B38" s="601" t="n"/>
      <c r="C38" s="602" t="inlineStr">
        <is>
          <t>a.1</t>
        </is>
      </c>
      <c r="D38" s="602" t="inlineStr">
        <is>
          <t>Pembongkaran 2 Flange Accessories #150 (GV, BV, Check Valve, Flexible Pipe, Spool etc)</t>
        </is>
      </c>
      <c r="E38" s="603" t="n"/>
      <c r="F38" s="603" t="n"/>
      <c r="G38" s="603" t="n"/>
      <c r="H38" s="603" t="n"/>
      <c r="I38" s="604" t="n"/>
      <c r="J38" s="605" t="n"/>
      <c r="K38" s="622" t="n"/>
      <c r="L38" s="629" t="n"/>
      <c r="M38" s="607" t="n"/>
      <c r="N38" s="628" t="n"/>
      <c r="O38" s="600" t="n"/>
      <c r="P38" s="600" t="n"/>
      <c r="Q38" s="236" t="n"/>
      <c r="R38" s="236" t="n"/>
    </row>
    <row r="39">
      <c r="A39" s="218" t="n"/>
      <c r="B39" s="601" t="n"/>
      <c r="C39" s="602" t="n"/>
      <c r="D39" s="602" t="inlineStr">
        <is>
          <t>a.1.1</t>
        </is>
      </c>
      <c r="E39" s="603" t="inlineStr">
        <is>
          <t xml:space="preserve">Pembongkaran 2 Flange Accessories  ø4" </t>
        </is>
      </c>
      <c r="F39" s="603" t="n"/>
      <c r="G39" s="603" t="n"/>
      <c r="H39" s="603" t="n"/>
      <c r="I39" s="604" t="n"/>
      <c r="J39" s="605" t="inlineStr">
        <is>
          <t>Unit</t>
        </is>
      </c>
      <c r="K39" s="622" t="n"/>
      <c r="L39" s="629" t="n">
        <v>24</v>
      </c>
      <c r="M39" s="607" t="n"/>
      <c r="N39" s="628" t="n"/>
      <c r="O39" s="600">
        <f>M39-K39</f>
        <v/>
      </c>
      <c r="P39" s="600">
        <f>N39-L39</f>
        <v/>
      </c>
      <c r="Q39" s="236">
        <f>IF(K39=0,0,IF(M39/K39&lt;1,M39/K39,100%))</f>
        <v/>
      </c>
      <c r="R39" s="236">
        <f>IF(L39=0,0,IF(N39/L39&lt;1,N39/L39,100%))</f>
        <v/>
      </c>
    </row>
    <row r="40">
      <c r="A40" s="276" t="n"/>
      <c r="B40" s="601" t="n"/>
      <c r="C40" s="602" t="inlineStr">
        <is>
          <t>a.2</t>
        </is>
      </c>
      <c r="D40" s="602" t="inlineStr">
        <is>
          <t>Penyetelan dan Pemasangan 2 Flange Accessories #150 (GV, BV, Check Valve, Flexible Pipe, Spool etc)</t>
        </is>
      </c>
      <c r="E40" s="603" t="n"/>
      <c r="F40" s="603" t="n"/>
      <c r="G40" s="603" t="n"/>
      <c r="H40" s="603" t="n"/>
      <c r="I40" s="604" t="n"/>
      <c r="J40" s="605" t="n"/>
      <c r="K40" s="622" t="n"/>
      <c r="L40" s="629" t="n"/>
      <c r="M40" s="607" t="n"/>
      <c r="N40" s="607" t="n"/>
      <c r="O40" s="600" t="n"/>
      <c r="P40" s="600" t="n"/>
      <c r="Q40" s="236" t="n"/>
      <c r="R40" s="236" t="n"/>
    </row>
    <row r="41">
      <c r="A41" s="276" t="n"/>
      <c r="B41" s="601" t="n"/>
      <c r="C41" s="602" t="n"/>
      <c r="D41" s="602" t="inlineStr">
        <is>
          <t>a.2.1</t>
        </is>
      </c>
      <c r="E41" s="603" t="inlineStr">
        <is>
          <t xml:space="preserve">Penyetelan dan Pemasangan 2 Flange Accessories  ø4" </t>
        </is>
      </c>
      <c r="F41" s="603" t="n"/>
      <c r="G41" s="603" t="n"/>
      <c r="H41" s="603" t="n"/>
      <c r="I41" s="604" t="n"/>
      <c r="J41" s="605" t="inlineStr">
        <is>
          <t>Unit</t>
        </is>
      </c>
      <c r="K41" s="630" t="n"/>
      <c r="L41" s="630" t="n">
        <v>24</v>
      </c>
      <c r="M41" s="607" t="n"/>
      <c r="N41" s="628" t="n"/>
      <c r="O41" s="600">
        <f>M41-K41</f>
        <v/>
      </c>
      <c r="P41" s="600">
        <f>N41-L41</f>
        <v/>
      </c>
      <c r="Q41" s="236">
        <f>IF(K41=0,0,IF(M41/K41&lt;1,M41/K41,100%))</f>
        <v/>
      </c>
      <c r="R41" s="236">
        <f>IF(L41=0,0,IF(N41/L41&lt;1,N41/L41,100%))</f>
        <v/>
      </c>
    </row>
    <row r="42">
      <c r="A42" s="276" t="n"/>
      <c r="B42" s="601" t="n"/>
      <c r="C42" s="602" t="inlineStr">
        <is>
          <t>a.3</t>
        </is>
      </c>
      <c r="D42" s="602" t="inlineStr">
        <is>
          <t>Pekerjaan Unbolting Flange #150</t>
        </is>
      </c>
      <c r="E42" s="603" t="n"/>
      <c r="F42" s="603" t="n"/>
      <c r="G42" s="603" t="n"/>
      <c r="H42" s="603" t="n"/>
      <c r="I42" s="604" t="n"/>
      <c r="J42" s="605" t="n"/>
      <c r="K42" s="630" t="n"/>
      <c r="L42" s="630" t="n"/>
      <c r="M42" s="607" t="n"/>
      <c r="N42" s="628" t="n"/>
      <c r="O42" s="600" t="n"/>
      <c r="P42" s="600" t="n"/>
      <c r="Q42" s="236" t="n"/>
      <c r="R42" s="236" t="n"/>
    </row>
    <row r="43">
      <c r="A43" s="276" t="n"/>
      <c r="B43" s="601" t="n"/>
      <c r="C43" s="602" t="n"/>
      <c r="D43" s="602" t="inlineStr">
        <is>
          <t>a.3.1</t>
        </is>
      </c>
      <c r="E43" s="603" t="inlineStr">
        <is>
          <t>Flange ø24" #150</t>
        </is>
      </c>
      <c r="F43" s="603" t="n"/>
      <c r="G43" s="603" t="n"/>
      <c r="H43" s="603" t="n"/>
      <c r="I43" s="604" t="n"/>
      <c r="J43" s="605" t="inlineStr">
        <is>
          <t>set</t>
        </is>
      </c>
      <c r="K43" s="630" t="n"/>
      <c r="L43" s="630" t="n">
        <v>8</v>
      </c>
      <c r="M43" s="607" t="n"/>
      <c r="N43" s="628" t="n"/>
      <c r="O43" s="600">
        <f>M43-K43</f>
        <v/>
      </c>
      <c r="P43" s="600">
        <f>N43-L43</f>
        <v/>
      </c>
      <c r="Q43" s="236">
        <f>IF(K43=0,0,IF(M43/K43&lt;1,M43/K43,100%))</f>
        <v/>
      </c>
      <c r="R43" s="236">
        <f>IF(L43=0,0,IF(N43/L43&lt;1,N43/L43,100%))</f>
        <v/>
      </c>
    </row>
    <row r="44">
      <c r="A44" s="276" t="n"/>
      <c r="B44" s="601" t="n"/>
      <c r="C44" s="602" t="inlineStr">
        <is>
          <t>a.4</t>
        </is>
      </c>
      <c r="D44" s="602" t="inlineStr">
        <is>
          <t>Pekerjaan Bolting-ups Flange #150</t>
        </is>
      </c>
      <c r="E44" s="603" t="n"/>
      <c r="F44" s="603" t="n"/>
      <c r="G44" s="603" t="n"/>
      <c r="H44" s="603" t="n"/>
      <c r="I44" s="604" t="n"/>
      <c r="J44" s="605" t="n"/>
      <c r="K44" s="630" t="n"/>
      <c r="L44" s="630" t="n"/>
      <c r="M44" s="607" t="n"/>
      <c r="N44" s="628" t="n"/>
      <c r="O44" s="600" t="n"/>
      <c r="P44" s="600" t="n"/>
      <c r="Q44" s="236" t="n"/>
      <c r="R44" s="236" t="n"/>
    </row>
    <row r="45">
      <c r="A45" s="254" t="n"/>
      <c r="B45" s="601" t="n"/>
      <c r="C45" s="602" t="n"/>
      <c r="D45" s="602" t="inlineStr">
        <is>
          <t>a.4.1</t>
        </is>
      </c>
      <c r="E45" s="603" t="inlineStr">
        <is>
          <t>Flange ø24" #150</t>
        </is>
      </c>
      <c r="F45" s="603" t="n"/>
      <c r="G45" s="603" t="n"/>
      <c r="H45" s="603" t="n"/>
      <c r="I45" s="604" t="n"/>
      <c r="J45" s="605" t="inlineStr">
        <is>
          <t>Set</t>
        </is>
      </c>
      <c r="K45" s="630" t="n"/>
      <c r="L45" s="630" t="n">
        <v>8</v>
      </c>
      <c r="M45" s="607" t="n"/>
      <c r="N45" s="628" t="n"/>
      <c r="O45" s="600">
        <f>M45-K45</f>
        <v/>
      </c>
      <c r="P45" s="600">
        <f>N45-L45</f>
        <v/>
      </c>
      <c r="Q45" s="236">
        <f>IF(K45=0,0,IF(M45/K45&lt;1,M45/K45,100%))</f>
        <v/>
      </c>
      <c r="R45" s="236">
        <f>IF(L45=0,0,IF(N45/L45&lt;1,N45/L45,100%))</f>
        <v/>
      </c>
    </row>
    <row r="46">
      <c r="A46" s="612" t="n"/>
      <c r="B46" s="613" t="n"/>
      <c r="C46" s="245" t="n"/>
      <c r="D46" s="614" t="n"/>
      <c r="E46" s="615" t="n"/>
      <c r="F46" s="615" t="n"/>
      <c r="G46" s="615" t="n"/>
      <c r="H46" s="615" t="n"/>
      <c r="I46" s="616" t="inlineStr">
        <is>
          <t>Total IV</t>
        </is>
      </c>
      <c r="J46" s="617" t="n"/>
      <c r="K46" s="618" t="n"/>
      <c r="L46" s="619" t="n"/>
      <c r="M46" s="620">
        <f>SUM(M33:M45)</f>
        <v/>
      </c>
      <c r="N46" s="620">
        <f>SUM(N33:N45)</f>
        <v/>
      </c>
      <c r="O46" s="621">
        <f>M46/[1]rekap!$I$17</f>
        <v/>
      </c>
      <c r="P46" s="621">
        <f>N46/[1]rekap!$J$17</f>
        <v/>
      </c>
    </row>
    <row r="47">
      <c r="A47" s="254" t="inlineStr">
        <is>
          <t xml:space="preserve">V </t>
        </is>
      </c>
      <c r="B47" s="627" t="inlineStr">
        <is>
          <t>PEKERJAAN COATING</t>
        </is>
      </c>
      <c r="C47" s="602" t="n"/>
      <c r="D47" s="624" t="n"/>
      <c r="E47" s="603" t="n"/>
      <c r="F47" s="603" t="n"/>
      <c r="G47" s="603" t="n"/>
      <c r="H47" s="603" t="n"/>
      <c r="I47" s="604" t="n"/>
      <c r="J47" s="605" t="n"/>
      <c r="K47" s="626" t="n"/>
      <c r="L47" s="609" t="n"/>
      <c r="M47" s="607" t="n"/>
      <c r="N47" s="628" t="n"/>
      <c r="O47" s="600" t="n"/>
      <c r="P47" s="600" t="n"/>
    </row>
    <row r="48">
      <c r="A48" s="254" t="n"/>
      <c r="B48" s="601" t="inlineStr">
        <is>
          <t>A</t>
        </is>
      </c>
      <c r="C48" s="602" t="inlineStr">
        <is>
          <t>Touch up dan Pengecetan Aksesoris</t>
        </is>
      </c>
      <c r="D48" s="602" t="n"/>
      <c r="E48" s="603" t="n"/>
      <c r="F48" s="603" t="n"/>
      <c r="G48" s="603" t="n"/>
      <c r="H48" s="603" t="n"/>
      <c r="I48" s="604" t="n"/>
      <c r="J48" s="605" t="n"/>
      <c r="K48" s="626" t="n"/>
      <c r="L48" s="609" t="n"/>
      <c r="M48" s="607" t="n"/>
      <c r="N48" s="628" t="n"/>
      <c r="O48" s="600" t="n"/>
      <c r="P48" s="600" t="n"/>
    </row>
    <row r="49">
      <c r="A49" s="276" t="n"/>
      <c r="B49" s="601" t="n"/>
      <c r="C49" s="602" t="inlineStr">
        <is>
          <t>a.1</t>
        </is>
      </c>
      <c r="D49" s="602" t="inlineStr">
        <is>
          <t xml:space="preserve">Top Coat 50 mikron </t>
        </is>
      </c>
      <c r="E49" s="603" t="n"/>
      <c r="F49" s="603" t="n"/>
      <c r="G49" s="603" t="n"/>
      <c r="H49" s="603" t="n"/>
      <c r="I49" s="604" t="n"/>
      <c r="J49" s="605" t="inlineStr">
        <is>
          <t>m2</t>
        </is>
      </c>
      <c r="K49" s="626" t="n">
        <v>24.73400313784139</v>
      </c>
      <c r="L49" s="609" t="n">
        <v>24.73400313784139</v>
      </c>
      <c r="M49" s="607" t="n"/>
      <c r="N49" s="628" t="n"/>
      <c r="O49" s="600">
        <f>M49-K49</f>
        <v/>
      </c>
      <c r="P49" s="600">
        <f>N49-L49</f>
        <v/>
      </c>
      <c r="Q49" s="236">
        <f>IF(K49=0,0,IF(M49/K49&lt;1,M49/K49,100%))</f>
        <v/>
      </c>
      <c r="R49" s="236">
        <f>IF(L49=0,0,IF(N49/L49&lt;1,N49/L49,100%))</f>
        <v/>
      </c>
    </row>
    <row r="50">
      <c r="A50" s="612" t="n"/>
      <c r="B50" s="613" t="n"/>
      <c r="C50" s="245" t="n"/>
      <c r="D50" s="614" t="n"/>
      <c r="E50" s="615" t="n"/>
      <c r="F50" s="615" t="n"/>
      <c r="G50" s="615" t="n"/>
      <c r="H50" s="615" t="n"/>
      <c r="I50" s="616" t="inlineStr">
        <is>
          <t>Total V</t>
        </is>
      </c>
      <c r="J50" s="617" t="n"/>
      <c r="K50" s="618" t="n"/>
      <c r="L50" s="619" t="n"/>
      <c r="M50" s="620">
        <f>SUM(M47:M49)</f>
        <v/>
      </c>
      <c r="N50" s="620">
        <f>SUM(N47:N49)</f>
        <v/>
      </c>
      <c r="O50" s="621">
        <f>M50/[1]rekap!$I$17</f>
        <v/>
      </c>
      <c r="P50" s="621">
        <f>N50/[1]rekap!$J$17</f>
        <v/>
      </c>
      <c r="Q50" s="236" t="n"/>
      <c r="R50" s="236" t="n"/>
    </row>
    <row r="51">
      <c r="A51" s="218" t="inlineStr">
        <is>
          <t>VI</t>
        </is>
      </c>
      <c r="B51" s="627" t="inlineStr">
        <is>
          <t>PEKERJAAN FINISHING</t>
        </is>
      </c>
      <c r="C51" s="624" t="n"/>
      <c r="D51" s="624" t="n"/>
      <c r="E51" s="603" t="n"/>
      <c r="F51" s="603" t="n"/>
      <c r="G51" s="603" t="n"/>
      <c r="H51" s="603" t="n"/>
      <c r="I51" s="604" t="n"/>
      <c r="J51" s="605" t="n"/>
      <c r="K51" s="630" t="n"/>
      <c r="L51" s="630" t="n"/>
      <c r="M51" s="607" t="n"/>
      <c r="N51" s="628" t="n"/>
      <c r="O51" s="600" t="n"/>
      <c r="P51" s="600" t="n"/>
      <c r="Q51" s="236" t="n"/>
      <c r="R51" s="236" t="n"/>
    </row>
    <row r="52">
      <c r="A52" s="218" t="n"/>
      <c r="B52" s="601" t="inlineStr">
        <is>
          <t>A</t>
        </is>
      </c>
      <c r="C52" s="602" t="inlineStr">
        <is>
          <t>Commissioning Test</t>
        </is>
      </c>
      <c r="D52" s="624" t="n"/>
      <c r="E52" s="603" t="n"/>
      <c r="F52" s="603" t="n"/>
      <c r="G52" s="603" t="n"/>
      <c r="H52" s="603" t="n"/>
      <c r="I52" s="604" t="n"/>
      <c r="J52" s="605" t="inlineStr">
        <is>
          <t>MD</t>
        </is>
      </c>
      <c r="K52" s="630" t="n"/>
      <c r="L52" s="630" t="n">
        <v>4</v>
      </c>
      <c r="M52" s="607" t="n"/>
      <c r="N52" s="628" t="n"/>
      <c r="O52" s="600">
        <f>M52-K52</f>
        <v/>
      </c>
      <c r="P52" s="600">
        <f>N52-L52</f>
        <v/>
      </c>
      <c r="Q52" s="236">
        <f>IF(K52=0,0,IF(M52/K52&lt;1,M52/K52,100%))</f>
        <v/>
      </c>
      <c r="R52" s="236">
        <f>IF(L52=0,0,IF(N52/L52&lt;1,N52/L52,100%))</f>
        <v/>
      </c>
    </row>
    <row r="53">
      <c r="A53" s="276" t="n"/>
      <c r="B53" s="601" t="inlineStr">
        <is>
          <t>B</t>
        </is>
      </c>
      <c r="C53" s="602" t="inlineStr">
        <is>
          <t>Pembersihan Lokasi Ex-Pekerjaan</t>
        </is>
      </c>
      <c r="D53" s="624" t="n"/>
      <c r="E53" s="603" t="n"/>
      <c r="F53" s="603" t="n"/>
      <c r="G53" s="603" t="n"/>
      <c r="H53" s="603" t="n"/>
      <c r="I53" s="604" t="n"/>
      <c r="J53" s="605" t="inlineStr">
        <is>
          <t>m2</t>
        </is>
      </c>
      <c r="K53" s="630" t="n"/>
      <c r="L53" s="630" t="n">
        <v>118.6265385995506</v>
      </c>
      <c r="M53" s="607" t="n"/>
      <c r="N53" s="628" t="n"/>
      <c r="O53" s="600">
        <f>M53-K53</f>
        <v/>
      </c>
      <c r="P53" s="600">
        <f>N53-L53</f>
        <v/>
      </c>
      <c r="Q53" s="236">
        <f>IF(K53=0,0,IF(M53/K53&lt;1,M53/K53,100%))</f>
        <v/>
      </c>
      <c r="R53" s="236">
        <f>IF(L53=0,0,IF(N53/L53&lt;1,N53/L53,100%))</f>
        <v/>
      </c>
    </row>
    <row r="54">
      <c r="A54" s="276" t="n"/>
      <c r="B54" s="601" t="inlineStr">
        <is>
          <t>C</t>
        </is>
      </c>
      <c r="C54" s="602" t="inlineStr">
        <is>
          <t>Verifikasi TKDN dengan Verifikator Independent (&lt; 500 jt)</t>
        </is>
      </c>
      <c r="D54" s="624" t="n"/>
      <c r="E54" s="603" t="n"/>
      <c r="F54" s="603" t="n"/>
      <c r="G54" s="603" t="n"/>
      <c r="H54" s="603" t="n"/>
      <c r="I54" s="604" t="n"/>
      <c r="J54" s="605" t="inlineStr">
        <is>
          <t>AU</t>
        </is>
      </c>
      <c r="K54" s="630" t="n"/>
      <c r="L54" s="630" t="n">
        <v>1</v>
      </c>
      <c r="M54" s="607" t="n"/>
      <c r="N54" s="628" t="n"/>
      <c r="O54" s="600">
        <f>M54-K54</f>
        <v/>
      </c>
      <c r="P54" s="600">
        <f>N54-L54</f>
        <v/>
      </c>
      <c r="Q54" s="236">
        <f>IF(K54=0,0,IF(M54/K54&lt;1,M54/K54,100%))</f>
        <v/>
      </c>
      <c r="R54" s="236">
        <f>IF(L54=0,0,IF(N54/L54&lt;1,N54/L54,100%))</f>
        <v/>
      </c>
    </row>
    <row r="55">
      <c r="A55" s="612" t="n"/>
      <c r="B55" s="613" t="n"/>
      <c r="C55" s="245" t="n"/>
      <c r="D55" s="614" t="n"/>
      <c r="E55" s="615" t="n"/>
      <c r="F55" s="615" t="n"/>
      <c r="G55" s="615" t="n"/>
      <c r="H55" s="615" t="n"/>
      <c r="I55" s="616" t="inlineStr">
        <is>
          <t>Total VI</t>
        </is>
      </c>
      <c r="J55" s="617" t="n"/>
      <c r="K55" s="618" t="n"/>
      <c r="L55" s="619" t="n"/>
      <c r="M55" s="620">
        <f>SUM(M51:M54)</f>
        <v/>
      </c>
      <c r="N55" s="620">
        <f>SUM(N51:N54)</f>
        <v/>
      </c>
      <c r="O55" s="621">
        <f>M55/[1]rekap!$I$17</f>
        <v/>
      </c>
      <c r="P55" s="621">
        <f>N55/[1]rekap!$J$17</f>
        <v/>
      </c>
      <c r="Q55" s="236" t="n"/>
      <c r="R55" s="236" t="n"/>
    </row>
    <row r="56">
      <c r="A56" s="259" t="n"/>
      <c r="B56" s="602" t="n"/>
      <c r="C56" s="602" t="n"/>
      <c r="D56" s="624" t="n"/>
      <c r="E56" s="603" t="n"/>
      <c r="F56" s="603" t="n"/>
      <c r="G56" s="603" t="n"/>
      <c r="H56" s="603" t="n"/>
      <c r="I56" s="631" t="n"/>
      <c r="J56" s="632" t="n"/>
      <c r="K56" s="633" t="n"/>
      <c r="L56" s="634" t="n"/>
      <c r="M56" s="635" t="n"/>
      <c r="N56" s="636" t="n"/>
    </row>
    <row r="57">
      <c r="A57" s="259" t="n"/>
      <c r="B57" s="602" t="n"/>
      <c r="C57" s="602" t="n"/>
      <c r="D57" s="624" t="n"/>
      <c r="E57" s="603" t="n"/>
      <c r="F57" s="603" t="n"/>
      <c r="G57" s="603" t="n"/>
      <c r="H57" s="603" t="n"/>
      <c r="I57" s="631" t="n"/>
      <c r="J57" s="632" t="n"/>
      <c r="K57" s="633" t="n"/>
      <c r="L57" s="634" t="n"/>
      <c r="M57" s="635" t="n"/>
      <c r="N57" s="636" t="n"/>
    </row>
    <row r="58">
      <c r="A58" s="259" t="n"/>
      <c r="B58" s="602" t="n"/>
      <c r="C58" s="602" t="n"/>
      <c r="D58" s="624" t="n"/>
      <c r="E58" s="603" t="n"/>
      <c r="F58" s="603" t="n"/>
      <c r="G58" s="603" t="n"/>
      <c r="H58" s="603" t="n"/>
      <c r="I58" s="631" t="n"/>
      <c r="J58" s="632" t="n"/>
      <c r="K58" s="633" t="n"/>
      <c r="L58" s="634" t="n"/>
      <c r="M58" s="635" t="n"/>
      <c r="N58" s="636" t="n"/>
    </row>
    <row r="59">
      <c r="A59" s="259" t="n"/>
      <c r="B59" s="602" t="n"/>
      <c r="C59" s="602" t="n"/>
      <c r="D59" s="624" t="n"/>
      <c r="E59" s="603" t="n"/>
      <c r="F59" s="603" t="n"/>
      <c r="G59" s="603" t="n"/>
      <c r="H59" s="603" t="n"/>
      <c r="I59" s="631" t="n"/>
      <c r="J59" s="632" t="n"/>
      <c r="K59" s="633" t="n"/>
      <c r="L59" s="634" t="n"/>
      <c r="M59" s="635" t="n"/>
      <c r="N59" s="636" t="n"/>
    </row>
    <row r="60">
      <c r="A60" s="259" t="n"/>
      <c r="B60" s="602" t="n"/>
      <c r="C60" s="602" t="n"/>
      <c r="D60" s="624" t="n"/>
      <c r="E60" s="603" t="n"/>
      <c r="F60" s="603" t="n"/>
      <c r="G60" s="603" t="n"/>
      <c r="H60" s="603" t="n"/>
      <c r="I60" s="631" t="n"/>
      <c r="J60" s="632" t="n"/>
      <c r="K60" s="633" t="n"/>
      <c r="L60" s="634" t="n"/>
      <c r="M60" s="635" t="n"/>
      <c r="N60" s="636" t="n"/>
    </row>
    <row r="61">
      <c r="A61" s="259" t="n"/>
      <c r="B61" s="602" t="n"/>
      <c r="C61" s="602" t="n"/>
      <c r="D61" s="624" t="n"/>
      <c r="E61" s="603" t="n"/>
      <c r="F61" s="603" t="n"/>
      <c r="G61" s="603" t="n"/>
      <c r="H61" s="603" t="n"/>
      <c r="I61" s="631" t="n"/>
      <c r="J61" s="632" t="n"/>
      <c r="K61" s="633" t="n"/>
      <c r="L61" s="634" t="n"/>
      <c r="M61" s="635" t="n"/>
      <c r="N61" s="636" t="n"/>
    </row>
    <row r="62">
      <c r="A62" s="259" t="n"/>
      <c r="B62" s="602" t="n"/>
      <c r="C62" s="602" t="n"/>
      <c r="D62" s="624" t="n"/>
      <c r="E62" s="603" t="n"/>
      <c r="F62" s="603" t="n"/>
      <c r="G62" s="603" t="n"/>
      <c r="H62" s="603" t="n"/>
      <c r="I62" s="631" t="n"/>
      <c r="J62" s="632" t="n"/>
      <c r="K62" s="633" t="n"/>
      <c r="L62" s="634" t="n"/>
      <c r="M62" s="635" t="n"/>
      <c r="N62" s="636" t="n"/>
    </row>
    <row r="63">
      <c r="A63" s="259" t="n"/>
      <c r="B63" s="602" t="n"/>
      <c r="C63" s="602" t="n"/>
      <c r="D63" s="624" t="n"/>
      <c r="E63" s="603" t="n"/>
      <c r="F63" s="603" t="n"/>
      <c r="G63" s="603" t="n"/>
      <c r="H63" s="603" t="n"/>
      <c r="I63" s="631" t="n"/>
      <c r="J63" s="632" t="n"/>
      <c r="K63" s="633" t="n"/>
      <c r="L63" s="634" t="n"/>
      <c r="M63" s="635" t="n"/>
      <c r="N63" s="636" t="n"/>
    </row>
    <row r="64">
      <c r="A64" s="259" t="n"/>
      <c r="B64" s="602" t="n"/>
      <c r="C64" s="602" t="n"/>
      <c r="D64" s="624" t="n"/>
      <c r="E64" s="603" t="n"/>
      <c r="F64" s="603" t="n"/>
      <c r="G64" s="603" t="n"/>
      <c r="H64" s="603" t="n"/>
      <c r="I64" s="631" t="n"/>
      <c r="J64" s="632" t="n"/>
      <c r="K64" s="633" t="n"/>
      <c r="L64" s="634" t="n"/>
      <c r="M64" s="635" t="n"/>
      <c r="N64" s="636" t="n"/>
    </row>
    <row r="65">
      <c r="A65" s="259" t="n"/>
      <c r="B65" s="602" t="n"/>
      <c r="C65" s="602" t="n"/>
      <c r="D65" s="624" t="n"/>
      <c r="E65" s="603" t="n"/>
      <c r="F65" s="603" t="n"/>
      <c r="G65" s="603" t="n"/>
      <c r="H65" s="603" t="n"/>
      <c r="I65" s="631" t="n"/>
      <c r="J65" s="632" t="n"/>
      <c r="K65" s="633" t="n"/>
      <c r="L65" s="634" t="n"/>
      <c r="M65" s="635" t="n"/>
      <c r="N65" s="636" t="n"/>
    </row>
    <row r="66">
      <c r="A66" s="259" t="n"/>
      <c r="B66" s="602" t="n"/>
      <c r="C66" s="602" t="n"/>
      <c r="D66" s="624" t="n"/>
      <c r="E66" s="603" t="n"/>
      <c r="F66" s="603" t="n"/>
      <c r="G66" s="603" t="n"/>
      <c r="H66" s="603" t="n"/>
      <c r="I66" s="631" t="n"/>
      <c r="J66" s="632" t="n"/>
      <c r="K66" s="633" t="n"/>
      <c r="L66" s="634" t="n"/>
      <c r="M66" s="635" t="n"/>
      <c r="N66" s="636" t="n"/>
    </row>
    <row r="67">
      <c r="A67" s="259" t="n"/>
      <c r="B67" s="602" t="n"/>
      <c r="C67" s="602" t="n"/>
      <c r="D67" s="624" t="n"/>
      <c r="E67" s="603" t="n"/>
      <c r="F67" s="603" t="n"/>
      <c r="G67" s="603" t="n"/>
      <c r="H67" s="603" t="n"/>
      <c r="I67" s="631" t="n"/>
      <c r="J67" s="632" t="n"/>
      <c r="K67" s="633" t="n"/>
      <c r="L67" s="634" t="n"/>
      <c r="M67" s="635" t="n"/>
      <c r="N67" s="636" t="n"/>
    </row>
    <row r="68">
      <c r="A68" s="259" t="n"/>
      <c r="B68" s="602" t="n"/>
      <c r="C68" s="602" t="n"/>
      <c r="D68" s="624" t="n"/>
      <c r="E68" s="603" t="n"/>
      <c r="F68" s="603" t="n"/>
      <c r="G68" s="603" t="n"/>
      <c r="H68" s="603" t="n"/>
      <c r="I68" s="631" t="n"/>
      <c r="J68" s="632" t="n"/>
      <c r="K68" s="633" t="n"/>
      <c r="L68" s="634" t="n"/>
      <c r="M68" s="635" t="n"/>
      <c r="N68" s="636" t="n"/>
    </row>
    <row r="69">
      <c r="A69" s="259" t="n"/>
      <c r="B69" s="602" t="n"/>
      <c r="C69" s="602" t="n"/>
      <c r="D69" s="624" t="n"/>
      <c r="E69" s="603" t="n"/>
      <c r="F69" s="603" t="n"/>
      <c r="G69" s="603" t="n"/>
      <c r="H69" s="603" t="n"/>
      <c r="I69" s="631" t="n"/>
      <c r="J69" s="632" t="n"/>
      <c r="K69" s="633" t="n"/>
      <c r="L69" s="634" t="n"/>
      <c r="M69" s="635" t="n"/>
      <c r="N69" s="636" t="n"/>
    </row>
    <row r="70">
      <c r="A70" s="259" t="n"/>
      <c r="B70" s="602" t="n"/>
      <c r="C70" s="602" t="n"/>
      <c r="D70" s="624" t="n"/>
      <c r="E70" s="603" t="n"/>
      <c r="F70" s="603" t="n"/>
      <c r="G70" s="603" t="n"/>
      <c r="H70" s="603" t="n"/>
      <c r="I70" s="631" t="n"/>
      <c r="J70" s="632" t="n"/>
      <c r="K70" s="633" t="n"/>
      <c r="L70" s="634" t="n"/>
      <c r="M70" s="635" t="n"/>
      <c r="N70" s="636" t="n"/>
    </row>
    <row r="71">
      <c r="A71" s="259" t="n"/>
      <c r="B71" s="602" t="n"/>
      <c r="C71" s="602" t="n"/>
      <c r="D71" s="624" t="n"/>
      <c r="E71" s="603" t="n"/>
      <c r="F71" s="603" t="n"/>
      <c r="G71" s="603" t="n"/>
      <c r="H71" s="603" t="n"/>
      <c r="I71" s="631" t="n"/>
      <c r="J71" s="632" t="n"/>
      <c r="K71" s="633" t="n"/>
      <c r="L71" s="634" t="n"/>
      <c r="M71" s="635" t="n"/>
      <c r="N71" s="636" t="n"/>
    </row>
    <row r="72">
      <c r="A72" s="259" t="n"/>
      <c r="B72" s="602" t="n"/>
      <c r="C72" s="602" t="n"/>
      <c r="D72" s="624" t="n"/>
      <c r="E72" s="603" t="n"/>
      <c r="F72" s="603" t="n"/>
      <c r="G72" s="603" t="n"/>
      <c r="H72" s="603" t="n"/>
      <c r="I72" s="631" t="n"/>
      <c r="J72" s="632" t="n"/>
      <c r="K72" s="633" t="n"/>
      <c r="L72" s="634" t="n"/>
      <c r="M72" s="635" t="n"/>
      <c r="N72" s="636" t="n"/>
    </row>
    <row r="73">
      <c r="A73" s="259" t="n"/>
      <c r="B73" s="602" t="n"/>
      <c r="C73" s="602" t="n"/>
      <c r="D73" s="624" t="n"/>
      <c r="E73" s="603" t="n"/>
      <c r="F73" s="603" t="n"/>
      <c r="G73" s="603" t="n"/>
      <c r="H73" s="603" t="n"/>
      <c r="I73" s="631" t="n"/>
      <c r="J73" s="632" t="n"/>
      <c r="K73" s="633" t="n"/>
      <c r="L73" s="634" t="n"/>
      <c r="M73" s="635" t="n"/>
      <c r="N73" s="636" t="n"/>
    </row>
    <row r="74">
      <c r="A74" s="259" t="n"/>
      <c r="B74" s="602" t="n"/>
      <c r="C74" s="602" t="n"/>
      <c r="D74" s="624" t="n"/>
      <c r="E74" s="603" t="n"/>
      <c r="F74" s="603" t="n"/>
      <c r="G74" s="603" t="n"/>
      <c r="H74" s="603" t="n"/>
      <c r="I74" s="631" t="n"/>
      <c r="J74" s="632" t="n"/>
      <c r="K74" s="633" t="n"/>
      <c r="L74" s="634" t="n"/>
      <c r="M74" s="635" t="n"/>
      <c r="N74" s="636" t="n"/>
    </row>
    <row r="75">
      <c r="A75" s="259" t="n"/>
      <c r="B75" s="602" t="n"/>
      <c r="C75" s="602" t="n"/>
      <c r="D75" s="624" t="n"/>
      <c r="E75" s="603" t="n"/>
      <c r="F75" s="603" t="n"/>
      <c r="G75" s="603" t="n"/>
      <c r="H75" s="603" t="n"/>
      <c r="I75" s="631" t="n"/>
      <c r="J75" s="632" t="n"/>
      <c r="K75" s="633" t="n"/>
      <c r="L75" s="634" t="n"/>
      <c r="M75" s="635" t="n"/>
      <c r="N75" s="636" t="n"/>
    </row>
    <row r="76">
      <c r="A76" s="259" t="n"/>
      <c r="B76" s="602" t="n"/>
      <c r="C76" s="602" t="n"/>
      <c r="D76" s="624" t="n"/>
      <c r="E76" s="603" t="n"/>
      <c r="F76" s="603" t="n"/>
      <c r="G76" s="603" t="n"/>
      <c r="H76" s="603" t="n"/>
      <c r="I76" s="631" t="n"/>
      <c r="J76" s="632" t="n"/>
      <c r="K76" s="633" t="n"/>
      <c r="L76" s="634" t="n"/>
      <c r="M76" s="635" t="n"/>
      <c r="N76" s="636" t="n"/>
    </row>
    <row r="77">
      <c r="A77" s="259" t="n"/>
      <c r="B77" s="602" t="n"/>
      <c r="C77" s="602" t="n"/>
      <c r="D77" s="624" t="n"/>
      <c r="E77" s="603" t="n"/>
      <c r="F77" s="603" t="n"/>
      <c r="G77" s="603" t="n"/>
      <c r="H77" s="603" t="n"/>
      <c r="I77" s="631" t="n"/>
      <c r="J77" s="632" t="n"/>
      <c r="K77" s="633" t="n"/>
      <c r="L77" s="634" t="n"/>
      <c r="M77" s="635" t="n"/>
      <c r="N77" s="636" t="n"/>
    </row>
    <row r="78">
      <c r="A78" s="266" t="n"/>
      <c r="B78" s="624" t="n"/>
      <c r="C78" s="624" t="n"/>
      <c r="D78" s="624" t="n"/>
      <c r="E78" s="603" t="n"/>
      <c r="F78" s="603" t="n"/>
      <c r="G78" s="603" t="n"/>
      <c r="H78" s="603" t="n"/>
      <c r="I78" s="631" t="n"/>
      <c r="J78" s="632" t="n"/>
      <c r="K78" s="633" t="n"/>
      <c r="L78" s="634" t="n"/>
      <c r="M78" s="637" t="n"/>
      <c r="N78" s="637" t="n"/>
    </row>
    <row r="79">
      <c r="A79" s="266" t="n"/>
      <c r="B79" s="624" t="n"/>
      <c r="C79" s="624" t="n"/>
      <c r="D79" s="624" t="n"/>
      <c r="E79" s="603" t="n"/>
      <c r="F79" s="603" t="n"/>
      <c r="G79" s="603" t="n"/>
      <c r="H79" s="603" t="n"/>
      <c r="I79" s="631" t="n"/>
      <c r="J79" s="632" t="n"/>
      <c r="K79" s="633" t="n"/>
      <c r="L79" s="634" t="n"/>
      <c r="M79" s="637" t="n"/>
      <c r="N79" s="637" t="n"/>
    </row>
    <row r="80">
      <c r="A80" s="266" t="n"/>
      <c r="B80" s="624" t="n"/>
      <c r="C80" s="624" t="n"/>
      <c r="D80" s="624" t="n"/>
      <c r="E80" s="603" t="n"/>
      <c r="F80" s="603" t="n"/>
      <c r="G80" s="603" t="n"/>
      <c r="H80" s="603" t="n"/>
      <c r="I80" s="631" t="n"/>
      <c r="J80" s="632" t="n"/>
      <c r="K80" s="633" t="n"/>
      <c r="L80" s="634" t="n"/>
      <c r="M80" s="637" t="n"/>
      <c r="N80" s="637" t="n"/>
    </row>
    <row r="81">
      <c r="A81" s="266" t="n"/>
      <c r="B81" s="638" t="n"/>
      <c r="C81" s="219" t="n"/>
      <c r="D81" s="219" t="n"/>
      <c r="E81" s="219" t="n"/>
      <c r="F81" s="219" t="n"/>
      <c r="G81" s="219" t="n"/>
      <c r="H81" s="219" t="n"/>
      <c r="I81" s="219" t="n"/>
      <c r="J81" s="639" t="n"/>
      <c r="K81" s="640" t="n"/>
      <c r="L81" s="640" t="n"/>
      <c r="M81" s="641" t="n"/>
      <c r="N81" s="642" t="n"/>
    </row>
    <row r="82">
      <c r="A82" s="259" t="n"/>
      <c r="B82" s="602" t="n"/>
      <c r="C82" s="295" t="n"/>
      <c r="D82" s="624" t="n"/>
      <c r="E82" s="603" t="n"/>
      <c r="F82" s="603" t="n"/>
      <c r="G82" s="603" t="n"/>
      <c r="H82" s="295" t="n"/>
      <c r="I82" s="631" t="n"/>
      <c r="J82" s="632" t="n"/>
      <c r="K82" s="634" t="n"/>
      <c r="L82" s="634" t="n"/>
      <c r="M82" s="635" t="n"/>
      <c r="N82" s="636" t="n"/>
    </row>
    <row r="83">
      <c r="A83" s="259" t="n"/>
      <c r="B83" s="602" t="n"/>
      <c r="C83" s="219" t="n"/>
      <c r="D83" s="219" t="n"/>
      <c r="E83" s="219" t="n"/>
      <c r="F83" s="219" t="n"/>
      <c r="G83" s="219" t="n"/>
      <c r="H83" s="219" t="n"/>
      <c r="I83" s="219" t="n"/>
      <c r="J83" s="632" t="n"/>
      <c r="K83" s="634" t="n"/>
      <c r="L83" s="634" t="n"/>
      <c r="M83" s="635" t="n"/>
      <c r="N83" s="636" t="n"/>
    </row>
    <row r="84">
      <c r="A84" s="643" t="n"/>
      <c r="B84" s="602" t="n"/>
      <c r="C84" s="295" t="n"/>
      <c r="D84" s="624" t="n"/>
      <c r="E84" s="603" t="n"/>
      <c r="F84" s="603" t="n"/>
      <c r="G84" s="603" t="n"/>
      <c r="H84" s="603" t="n"/>
      <c r="I84" s="631" t="n"/>
      <c r="J84" s="632" t="n"/>
      <c r="K84" s="634" t="n"/>
      <c r="L84" s="634" t="n"/>
      <c r="M84" s="635" t="n"/>
      <c r="N84" s="636" t="n"/>
    </row>
  </sheetData>
  <mergeCells count="9">
    <mergeCell ref="O6:P6"/>
    <mergeCell ref="K7:L7"/>
    <mergeCell ref="M7:N7"/>
    <mergeCell ref="O7:P7"/>
    <mergeCell ref="A2:N2"/>
    <mergeCell ref="A6:A8"/>
    <mergeCell ref="B6:I8"/>
    <mergeCell ref="J6:J8"/>
    <mergeCell ref="K6:N6"/>
  </mergeCells>
  <conditionalFormatting sqref="K9:L84">
    <cfRule type="cellIs" priority="1" operator="greaterThan" dxfId="0">
      <formula>#REF!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4" tint="0.3999755851924192"/>
    <outlinePr summaryBelow="1" summaryRight="1"/>
    <pageSetUpPr/>
  </sheetPr>
  <dimension ref="A1:Q55"/>
  <sheetViews>
    <sheetView showGridLines="0" view="pageBreakPreview" topLeftCell="A22" zoomScaleNormal="100" zoomScaleSheetLayoutView="100" workbookViewId="0">
      <selection activeCell="E5" sqref="E5:G5"/>
    </sheetView>
  </sheetViews>
  <sheetFormatPr baseColWidth="8" defaultColWidth="9.14453125" defaultRowHeight="13.5"/>
  <cols>
    <col width="2.6875" customWidth="1" style="26" min="1" max="1"/>
    <col width="6.3203125" customWidth="1" style="26" min="2" max="2"/>
    <col width="16.0078125" customWidth="1" style="26" min="3" max="3"/>
    <col width="5.51171875" customWidth="1" style="26" min="4" max="4"/>
    <col width="7.12890625" customWidth="1" style="26" min="5" max="5"/>
    <col width="8.47265625" customWidth="1" style="26" min="6" max="6"/>
    <col width="19.234375" customWidth="1" style="26" min="7" max="7"/>
    <col width="14.2578125" customWidth="1" style="26" min="8" max="8"/>
    <col width="4.5703125" customWidth="1" style="644" min="9" max="9"/>
    <col width="14.2578125" customWidth="1" style="644" min="10" max="10"/>
    <col width="16.41015625" customWidth="1" style="644" min="11" max="11"/>
    <col width="19.37109375" customWidth="1" style="644" min="12" max="13"/>
    <col width="9.14453125" customWidth="1" style="51" min="14" max="14"/>
    <col width="9.14453125" customWidth="1" style="26" min="15" max="16384"/>
  </cols>
  <sheetData>
    <row r="1" ht="20.1" customHeight="1">
      <c r="B1" s="49" t="n"/>
      <c r="C1" s="49" t="n"/>
      <c r="D1" s="49" t="n"/>
      <c r="E1" s="49" t="n"/>
      <c r="F1" s="49" t="n"/>
      <c r="G1" s="49" t="n"/>
      <c r="H1" s="49" t="n"/>
      <c r="I1" s="49" t="n"/>
      <c r="J1" s="49" t="n"/>
      <c r="K1" s="49" t="n"/>
      <c r="L1" s="49" t="n"/>
      <c r="M1" s="49" t="n"/>
    </row>
    <row r="2" ht="18" customHeight="1">
      <c r="B2" s="475" t="inlineStr">
        <is>
          <t>LAPORAN KEMAJUAN PEKERJAAN</t>
        </is>
      </c>
    </row>
    <row r="3" ht="11.45" customHeight="1">
      <c r="A3" s="52" t="n"/>
    </row>
    <row r="4" ht="23.25" customHeight="1">
      <c r="B4" s="49" t="n"/>
      <c r="C4" s="49" t="n"/>
      <c r="D4" s="53" t="n"/>
      <c r="E4" s="49" t="n"/>
      <c r="F4" s="49" t="n"/>
      <c r="G4" s="49" t="n"/>
      <c r="H4" s="49" t="n"/>
      <c r="I4" s="49" t="n"/>
      <c r="J4" s="49" t="n"/>
      <c r="K4" s="49" t="n"/>
      <c r="L4" s="49" t="n"/>
      <c r="M4" s="49" t="n"/>
    </row>
    <row r="5" ht="15.6" customHeight="1">
      <c r="B5" s="49" t="inlineStr">
        <is>
          <t>Periode</t>
        </is>
      </c>
      <c r="C5" s="49" t="n"/>
      <c r="D5" s="53" t="inlineStr">
        <is>
          <t>:</t>
        </is>
      </c>
      <c r="E5" s="476" t="inlineStr">
        <is>
          <t>Agustus 2025</t>
        </is>
      </c>
      <c r="H5" s="49" t="n"/>
      <c r="I5" s="49" t="n"/>
      <c r="J5" s="49" t="n"/>
      <c r="K5" s="49" t="n"/>
      <c r="L5" s="49" t="n"/>
      <c r="M5" s="49" t="n"/>
    </row>
    <row r="6" ht="18" customHeight="1">
      <c r="B6" s="184" t="inlineStr">
        <is>
          <t>Nama Proyek</t>
        </is>
      </c>
      <c r="C6" s="184" t="n"/>
      <c r="D6" s="185" t="inlineStr">
        <is>
          <t>:</t>
        </is>
      </c>
      <c r="E6" s="288" t="inlineStr">
        <is>
          <t xml:space="preserve">CLEANING TANGKI PENDAM T3, T4, T2, DAN T1 </t>
        </is>
      </c>
      <c r="F6" s="288" t="n"/>
      <c r="G6" s="288" t="n"/>
      <c r="H6" s="288" t="n"/>
      <c r="I6" s="288" t="n"/>
      <c r="J6" s="288" t="n"/>
      <c r="K6" s="288" t="n"/>
      <c r="L6" s="288" t="n"/>
      <c r="M6" s="288" t="n"/>
    </row>
    <row r="7" ht="16.9" customHeight="1">
      <c r="B7" s="488" t="inlineStr">
        <is>
          <t>No. Kontrak</t>
        </is>
      </c>
      <c r="D7" s="53" t="inlineStr">
        <is>
          <t>:</t>
        </is>
      </c>
      <c r="E7" s="49" t="inlineStr">
        <is>
          <t>3700018379, Tanggal 14 Agustus 2025</t>
        </is>
      </c>
      <c r="F7" s="49" t="n"/>
      <c r="G7" s="49" t="n"/>
      <c r="H7" s="49" t="n"/>
      <c r="I7" s="49" t="n"/>
      <c r="J7" s="49" t="n"/>
      <c r="K7" s="49" t="n"/>
      <c r="L7" s="49" t="n"/>
      <c r="M7" s="49" t="n"/>
    </row>
    <row r="8" ht="18.6" customHeight="1">
      <c r="B8" s="489" t="inlineStr">
        <is>
          <t>Jangka Waktu</t>
        </is>
      </c>
      <c r="D8" s="54" t="inlineStr">
        <is>
          <t>:</t>
        </is>
      </c>
      <c r="E8" s="49" t="inlineStr">
        <is>
          <t>120 (SERATUS DUA PULUH) HARI KALENDER</t>
        </is>
      </c>
      <c r="F8" s="49" t="n"/>
      <c r="G8" s="49" t="n"/>
      <c r="H8" s="55" t="n"/>
      <c r="I8" s="645" t="n"/>
      <c r="J8" s="645" t="n"/>
      <c r="K8" s="645" t="n"/>
      <c r="L8" s="645" t="n"/>
      <c r="M8" s="645" t="n"/>
    </row>
    <row r="9" ht="23.25" customHeight="1">
      <c r="B9" s="646" t="n"/>
      <c r="C9" s="58" t="n"/>
      <c r="D9" s="486" t="n"/>
      <c r="E9" s="647" t="n"/>
      <c r="F9" s="647" t="n"/>
      <c r="G9" s="647" t="n"/>
      <c r="H9" s="647" t="n"/>
      <c r="I9" s="648" t="n"/>
      <c r="J9" s="648" t="n"/>
      <c r="K9" s="648" t="n"/>
      <c r="L9" s="648" t="n"/>
      <c r="M9" s="649" t="inlineStr">
        <is>
          <t>FORM : RPD 03</t>
        </is>
      </c>
    </row>
    <row r="10" ht="19.9" customHeight="1">
      <c r="B10" s="481" t="inlineStr">
        <is>
          <t>NO</t>
        </is>
      </c>
      <c r="C10" s="650" t="inlineStr">
        <is>
          <t>PERINCIAN PEKERJAAN</t>
        </is>
      </c>
      <c r="D10" s="569" t="n"/>
      <c r="E10" s="569" t="n"/>
      <c r="F10" s="569" t="n"/>
      <c r="G10" s="569" t="n"/>
      <c r="H10" s="569" t="n"/>
      <c r="I10" s="569" t="n"/>
      <c r="J10" s="570" t="n"/>
      <c r="K10" s="651" t="inlineStr">
        <is>
          <t>Bobot thd Kontrak (%)</t>
        </is>
      </c>
      <c r="L10" s="651" t="inlineStr">
        <is>
          <t>Prestasi Total  Tiap Jenis (%)</t>
        </is>
      </c>
      <c r="M10" s="651" t="inlineStr">
        <is>
          <t>Prestasi thd Kontra (%)</t>
        </is>
      </c>
    </row>
    <row r="11" ht="26.45" customHeight="1">
      <c r="B11" s="652" t="n"/>
      <c r="C11" s="653" t="n"/>
      <c r="D11" s="654" t="n"/>
      <c r="E11" s="654" t="n"/>
      <c r="F11" s="654" t="n"/>
      <c r="G11" s="654" t="n"/>
      <c r="H11" s="654" t="n"/>
      <c r="I11" s="654" t="n"/>
      <c r="J11" s="581" t="n"/>
      <c r="K11" s="652" t="n"/>
      <c r="L11" s="652" t="n"/>
      <c r="M11" s="652" t="n"/>
    </row>
    <row r="12" ht="20.45" customFormat="1" customHeight="1" s="64">
      <c r="B12" s="480" t="n"/>
      <c r="C12" s="655" t="n"/>
      <c r="D12" s="656" t="n"/>
      <c r="E12" s="656" t="n"/>
      <c r="F12" s="656" t="n"/>
      <c r="G12" s="656" t="n"/>
      <c r="H12" s="656" t="n"/>
      <c r="I12" s="657" t="n"/>
      <c r="J12" s="658" t="n"/>
      <c r="K12" s="659" t="n"/>
      <c r="L12" s="660" t="n"/>
      <c r="M12" s="659" t="n"/>
      <c r="N12" s="71" t="n"/>
      <c r="P12" s="72" t="n"/>
    </row>
    <row r="13" ht="24" customHeight="1">
      <c r="B13" s="73" t="inlineStr">
        <is>
          <t>I</t>
        </is>
      </c>
      <c r="C13" s="661">
        <f>'Phisical Check'!B9</f>
        <v/>
      </c>
      <c r="D13" s="662" t="n"/>
      <c r="E13" s="662" t="n"/>
      <c r="F13" s="662" t="n"/>
      <c r="G13" s="662" t="n"/>
      <c r="H13" s="662" t="n"/>
      <c r="I13" s="662" t="n"/>
      <c r="J13" s="663" t="n"/>
      <c r="K13" s="664" t="n">
        <v>15.5242072005877</v>
      </c>
      <c r="L13" s="665">
        <f>'03A-1'!M22</f>
        <v/>
      </c>
      <c r="M13" s="665">
        <f>K13*L13%</f>
        <v/>
      </c>
      <c r="N13" s="74" t="n"/>
    </row>
    <row r="14" ht="24" customHeight="1">
      <c r="B14" s="73" t="n"/>
      <c r="C14" s="661" t="n"/>
      <c r="D14" s="662" t="n"/>
      <c r="E14" s="662" t="n"/>
      <c r="F14" s="662" t="n"/>
      <c r="G14" s="662" t="n"/>
      <c r="H14" s="662" t="n"/>
      <c r="I14" s="662" t="n"/>
      <c r="J14" s="663" t="n"/>
      <c r="K14" s="664" t="n"/>
      <c r="L14" s="665" t="n"/>
      <c r="M14" s="665" t="n"/>
      <c r="N14" s="74" t="n"/>
    </row>
    <row r="15" ht="24" customHeight="1">
      <c r="B15" s="75" t="inlineStr">
        <is>
          <t>II</t>
        </is>
      </c>
      <c r="C15" s="666">
        <f>'Phisical Check'!B18</f>
        <v/>
      </c>
      <c r="D15" s="662" t="n"/>
      <c r="E15" s="662" t="n"/>
      <c r="F15" s="662" t="n"/>
      <c r="G15" s="662" t="n"/>
      <c r="H15" s="662" t="n"/>
      <c r="I15" s="662" t="n"/>
      <c r="J15" s="663" t="n"/>
      <c r="K15" s="664" t="n">
        <v>16.08248511245587</v>
      </c>
      <c r="L15" s="665">
        <f>'03A-2'!M21</f>
        <v/>
      </c>
      <c r="M15" s="665">
        <f>K15*L15%</f>
        <v/>
      </c>
      <c r="N15" s="74" t="n"/>
    </row>
    <row r="16" ht="24" customHeight="1">
      <c r="B16" s="75" t="n"/>
      <c r="C16" s="666" t="n"/>
      <c r="D16" s="662" t="n"/>
      <c r="E16" s="662" t="n"/>
      <c r="F16" s="662" t="n"/>
      <c r="G16" s="662" t="n"/>
      <c r="H16" s="662" t="n"/>
      <c r="I16" s="662" t="n"/>
      <c r="J16" s="663" t="n"/>
      <c r="K16" s="664" t="n"/>
      <c r="L16" s="665" t="n"/>
      <c r="M16" s="665" t="n"/>
      <c r="N16" s="74" t="n"/>
    </row>
    <row r="17" ht="24" customHeight="1">
      <c r="B17" s="75" t="inlineStr">
        <is>
          <t>III</t>
        </is>
      </c>
      <c r="C17" s="661">
        <f>'Phisical Check'!B26</f>
        <v/>
      </c>
      <c r="D17" s="662" t="n"/>
      <c r="E17" s="662" t="n"/>
      <c r="F17" s="662" t="n"/>
      <c r="G17" s="662" t="n"/>
      <c r="H17" s="662" t="n"/>
      <c r="I17" s="662" t="n"/>
      <c r="J17" s="663" t="n"/>
      <c r="K17" s="664" t="n">
        <v>14.4399133941094</v>
      </c>
      <c r="L17" s="665">
        <f>'03A-3'!M20</f>
        <v/>
      </c>
      <c r="M17" s="665">
        <f>K17*L17%</f>
        <v/>
      </c>
      <c r="N17" s="74" t="n"/>
    </row>
    <row r="18" ht="24" customHeight="1">
      <c r="B18" s="75" t="n"/>
      <c r="C18" s="661" t="n"/>
      <c r="D18" s="662" t="n"/>
      <c r="E18" s="662" t="n"/>
      <c r="F18" s="662" t="n"/>
      <c r="G18" s="662" t="n"/>
      <c r="H18" s="662" t="n"/>
      <c r="I18" s="662" t="n"/>
      <c r="J18" s="663" t="n"/>
      <c r="K18" s="667" t="n"/>
      <c r="L18" s="665" t="n"/>
      <c r="M18" s="665" t="n"/>
      <c r="N18" s="74" t="n"/>
    </row>
    <row r="19" ht="24" customHeight="1">
      <c r="B19" s="75" t="inlineStr">
        <is>
          <t>IV</t>
        </is>
      </c>
      <c r="C19" s="661">
        <f>'Phisical Check'!B33</f>
        <v/>
      </c>
      <c r="D19" s="662" t="n"/>
      <c r="E19" s="662" t="n"/>
      <c r="F19" s="662" t="n"/>
      <c r="G19" s="662" t="n"/>
      <c r="H19" s="662" t="n"/>
      <c r="I19" s="662" t="n"/>
      <c r="J19" s="663" t="n"/>
      <c r="K19" s="667" t="n">
        <v>26.08564484806609</v>
      </c>
      <c r="L19" s="665">
        <f>'03A-4'!M28</f>
        <v/>
      </c>
      <c r="M19" s="665">
        <f>K19*L19%</f>
        <v/>
      </c>
      <c r="N19" s="74" t="n"/>
    </row>
    <row r="20" ht="24" customHeight="1">
      <c r="B20" s="75" t="n"/>
      <c r="C20" s="661" t="n"/>
      <c r="D20" s="662" t="n"/>
      <c r="E20" s="662" t="n"/>
      <c r="F20" s="662" t="n"/>
      <c r="G20" s="662" t="n"/>
      <c r="H20" s="662" t="n"/>
      <c r="I20" s="662" t="n"/>
      <c r="J20" s="663" t="n"/>
      <c r="K20" s="667" t="n"/>
      <c r="L20" s="665" t="n"/>
      <c r="M20" s="665" t="n"/>
      <c r="N20" s="74" t="n"/>
    </row>
    <row r="21" ht="24" customHeight="1">
      <c r="B21" s="75" t="inlineStr">
        <is>
          <t>V</t>
        </is>
      </c>
      <c r="C21" s="661">
        <f>'Phisical Check'!B47</f>
        <v/>
      </c>
      <c r="D21" s="662" t="n"/>
      <c r="E21" s="662" t="n"/>
      <c r="F21" s="662" t="n"/>
      <c r="G21" s="662" t="n"/>
      <c r="H21" s="662" t="n"/>
      <c r="I21" s="662" t="n"/>
      <c r="J21" s="663" t="n"/>
      <c r="K21" s="667" t="n">
        <v>0.8846288083515038</v>
      </c>
      <c r="L21" s="665">
        <f>'03A-5'!M18</f>
        <v/>
      </c>
      <c r="M21" s="665">
        <f>K21*L21%</f>
        <v/>
      </c>
      <c r="N21" s="74" t="n"/>
    </row>
    <row r="22" ht="24" customHeight="1">
      <c r="B22" s="75" t="n"/>
      <c r="C22" s="661" t="n"/>
      <c r="D22" s="662" t="n"/>
      <c r="E22" s="662" t="n"/>
      <c r="F22" s="662" t="n"/>
      <c r="G22" s="662" t="n"/>
      <c r="H22" s="662" t="n"/>
      <c r="I22" s="662" t="n"/>
      <c r="J22" s="663" t="n"/>
      <c r="K22" s="667" t="n"/>
      <c r="L22" s="665" t="n"/>
      <c r="M22" s="665" t="n"/>
      <c r="N22" s="74" t="n"/>
    </row>
    <row r="23" ht="24" customHeight="1">
      <c r="B23" s="75" t="inlineStr">
        <is>
          <t>VI</t>
        </is>
      </c>
      <c r="C23" s="661">
        <f>'Phisical Check'!B51</f>
        <v/>
      </c>
      <c r="D23" s="662" t="n"/>
      <c r="E23" s="662" t="n"/>
      <c r="F23" s="662" t="n"/>
      <c r="G23" s="662" t="n"/>
      <c r="H23" s="662" t="n"/>
      <c r="I23" s="662" t="n"/>
      <c r="J23" s="663" t="n"/>
      <c r="K23" s="667" t="n">
        <v>26.98312063642945</v>
      </c>
      <c r="L23" s="665">
        <f>'03A-6'!M18</f>
        <v/>
      </c>
      <c r="M23" s="665">
        <f>K23*L23%</f>
        <v/>
      </c>
      <c r="N23" s="74" t="n"/>
    </row>
    <row r="24" ht="24" customHeight="1">
      <c r="B24" s="75" t="n"/>
      <c r="C24" s="661" t="n"/>
      <c r="D24" s="662" t="n"/>
      <c r="E24" s="662" t="n"/>
      <c r="F24" s="662" t="n"/>
      <c r="G24" s="662" t="n"/>
      <c r="H24" s="662" t="n"/>
      <c r="I24" s="662" t="n"/>
      <c r="J24" s="663" t="n"/>
      <c r="K24" s="667" t="n"/>
      <c r="L24" s="665" t="n"/>
      <c r="M24" s="665" t="n"/>
      <c r="N24" s="74" t="n"/>
    </row>
    <row r="25" ht="24" customFormat="1" customHeight="1" s="76">
      <c r="B25" s="650" t="inlineStr">
        <is>
          <t>JUMLAH</t>
        </is>
      </c>
      <c r="C25" s="668" t="n"/>
      <c r="D25" s="668" t="n"/>
      <c r="E25" s="668" t="n"/>
      <c r="F25" s="668" t="n"/>
      <c r="G25" s="668" t="n"/>
      <c r="H25" s="668" t="n"/>
      <c r="I25" s="668" t="n"/>
      <c r="J25" s="578" t="n"/>
      <c r="K25" s="77">
        <f>SUM(K13:K24)</f>
        <v/>
      </c>
      <c r="L25" s="78" t="n"/>
      <c r="M25" s="36">
        <f>SUM(M12:M24)</f>
        <v/>
      </c>
      <c r="N25" s="50" t="n"/>
    </row>
    <row r="26" customFormat="1" s="76">
      <c r="B26" s="26" t="n"/>
      <c r="C26" s="26" t="n"/>
      <c r="D26" s="26" t="n"/>
      <c r="E26" s="26" t="n"/>
      <c r="F26" s="26" t="n"/>
      <c r="G26" s="26" t="n"/>
      <c r="H26" s="26" t="n"/>
      <c r="I26" s="644" t="n"/>
      <c r="J26" s="644" t="n"/>
      <c r="K26" s="644" t="n"/>
      <c r="L26" s="644" t="n"/>
      <c r="M26" s="644" t="n"/>
      <c r="N26" s="79" t="n"/>
    </row>
    <row r="27" ht="23.45" customFormat="1" customHeight="1" s="76">
      <c r="B27" s="26" t="n"/>
      <c r="C27" s="26" t="n"/>
      <c r="D27" s="26" t="n"/>
      <c r="E27" s="26" t="n"/>
      <c r="F27" s="26" t="n"/>
      <c r="G27" s="26" t="n"/>
      <c r="H27" s="26" t="n"/>
      <c r="I27" s="644" t="n"/>
      <c r="J27" s="644" t="n"/>
      <c r="K27" s="80" t="inlineStr">
        <is>
          <t>Cilacap,</t>
        </is>
      </c>
      <c r="L27" s="644" t="n"/>
      <c r="M27" s="644" t="n"/>
      <c r="N27" s="50" t="n"/>
      <c r="Q27" s="81" t="n"/>
    </row>
    <row r="28" ht="15" customFormat="1" customHeight="1" s="76">
      <c r="C28" s="16" t="inlineStr">
        <is>
          <t>Mengetahui :</t>
        </is>
      </c>
      <c r="D28" s="16" t="n"/>
      <c r="E28" s="490" t="n"/>
      <c r="F28" s="14" t="n"/>
      <c r="G28" s="14" t="n"/>
      <c r="H28" s="14" t="n"/>
      <c r="I28" s="14" t="n"/>
      <c r="J28" s="15" t="n"/>
      <c r="K28" s="490" t="inlineStr">
        <is>
          <t>Dibuat Oleh</t>
        </is>
      </c>
      <c r="N28" s="50" t="n"/>
    </row>
    <row r="29" ht="15" customFormat="1" customHeight="1" s="76">
      <c r="C29" s="16" t="inlineStr">
        <is>
          <t>PT. PERTAMINA PATRA NIAGA</t>
        </is>
      </c>
      <c r="D29" s="16" t="n"/>
      <c r="E29" s="16" t="n"/>
      <c r="F29" s="14" t="n"/>
      <c r="G29" s="14" t="n"/>
      <c r="H29" s="14" t="n"/>
      <c r="I29" s="14" t="n"/>
      <c r="J29" s="15" t="n"/>
      <c r="K29" s="490" t="inlineStr">
        <is>
          <t>PT. PERTAMINA MAINTENANCE AND CONSTRUCTION</t>
        </is>
      </c>
      <c r="N29" s="50" t="n"/>
    </row>
    <row r="30" customFormat="1" s="76">
      <c r="C30" s="82" t="n"/>
      <c r="D30" s="14" t="n"/>
      <c r="E30" s="14" t="n"/>
      <c r="F30" s="14" t="n"/>
      <c r="G30" s="14" t="n"/>
      <c r="H30" s="14" t="n"/>
      <c r="I30" s="17" t="n"/>
      <c r="J30" s="15" t="n"/>
      <c r="K30" s="82" t="n"/>
      <c r="L30" s="82" t="n"/>
      <c r="M30" s="14" t="n"/>
      <c r="N30" s="50" t="n"/>
    </row>
    <row r="31" customFormat="1" s="76">
      <c r="C31" s="82" t="n"/>
      <c r="D31" s="14" t="n"/>
      <c r="E31" s="14" t="n"/>
      <c r="F31" s="14" t="n"/>
      <c r="G31" s="14" t="n"/>
      <c r="H31" s="14" t="n"/>
      <c r="I31" s="17" t="n"/>
      <c r="J31" s="15" t="n"/>
      <c r="K31" s="82" t="n"/>
      <c r="L31" s="82" t="n"/>
      <c r="M31" s="14" t="n"/>
      <c r="N31" s="50" t="n"/>
    </row>
    <row r="32" customFormat="1" s="76">
      <c r="C32" s="82" t="n"/>
      <c r="D32" s="14" t="n"/>
      <c r="E32" s="14" t="n"/>
      <c r="F32" s="14" t="n"/>
      <c r="G32" s="14" t="n"/>
      <c r="H32" s="14" t="n"/>
      <c r="I32" s="17" t="n"/>
      <c r="J32" s="15" t="n"/>
      <c r="K32" s="82" t="n"/>
      <c r="L32" s="82" t="n"/>
      <c r="M32" s="14" t="n"/>
      <c r="N32" s="50" t="n"/>
    </row>
    <row r="33" customFormat="1" s="76">
      <c r="C33" s="82" t="n"/>
      <c r="D33" s="14" t="n"/>
      <c r="E33" s="14" t="n"/>
      <c r="F33" s="14" t="n"/>
      <c r="G33" s="14" t="n"/>
      <c r="H33" s="14" t="n"/>
      <c r="I33" s="17" t="n"/>
      <c r="J33" s="15" t="n"/>
      <c r="K33" s="82" t="n"/>
      <c r="L33" s="82" t="n"/>
      <c r="M33" s="14" t="n"/>
      <c r="N33" s="50" t="n"/>
    </row>
    <row r="34" customFormat="1" s="76">
      <c r="C34" s="20" t="n"/>
      <c r="D34" s="490" t="n"/>
      <c r="E34" s="490" t="n"/>
      <c r="F34" s="490" t="n"/>
      <c r="G34" s="490" t="n"/>
      <c r="H34" s="490" t="n"/>
      <c r="I34" s="18" t="n"/>
      <c r="J34" s="19" t="n"/>
      <c r="K34" s="20" t="n"/>
      <c r="L34" s="20" t="n"/>
      <c r="M34" s="490" t="n"/>
      <c r="N34" s="50" t="n"/>
    </row>
    <row r="35" customFormat="1" s="76">
      <c r="C35" s="20" t="n"/>
      <c r="D35" s="490" t="n"/>
      <c r="E35" s="490" t="n"/>
      <c r="F35" s="490" t="n"/>
      <c r="G35" s="490" t="n"/>
      <c r="H35" s="490" t="n"/>
      <c r="I35" s="18" t="n"/>
      <c r="J35" s="19" t="n"/>
      <c r="K35" s="20" t="n"/>
      <c r="L35" s="20" t="n"/>
      <c r="M35" s="490" t="n"/>
      <c r="N35" s="50" t="n"/>
    </row>
    <row r="36" ht="18" customFormat="1" customHeight="1" s="76">
      <c r="C36" s="495" t="inlineStr">
        <is>
          <t>M. IRSAN</t>
        </is>
      </c>
      <c r="D36" s="495" t="n"/>
      <c r="E36" s="495" t="n"/>
      <c r="F36" s="495" t="n"/>
      <c r="G36" s="495" t="n"/>
      <c r="H36" s="495" t="n"/>
      <c r="I36" s="495" t="n"/>
      <c r="J36" s="16" t="n"/>
      <c r="K36" s="495" t="inlineStr">
        <is>
          <t>RIKKI ANDARFIYAN SAPUTRA</t>
        </is>
      </c>
      <c r="N36" s="50" t="n"/>
    </row>
    <row r="37" ht="15.6" customFormat="1" customHeight="1" s="76">
      <c r="C37" s="126" t="inlineStr">
        <is>
          <t>Region Manager RPD JBT</t>
        </is>
      </c>
      <c r="D37" s="490" t="n"/>
      <c r="E37" s="490" t="n"/>
      <c r="F37" s="490" t="n"/>
      <c r="G37" s="490" t="n"/>
      <c r="H37" s="490" t="n"/>
      <c r="I37" s="490" t="n"/>
      <c r="J37" s="19" t="n"/>
      <c r="K37" s="490" t="inlineStr">
        <is>
          <t>Project Manager</t>
        </is>
      </c>
      <c r="N37" s="50" t="n"/>
      <c r="O37" s="76" t="inlineStr">
        <is>
          <t xml:space="preserve"> </t>
        </is>
      </c>
    </row>
    <row r="38" customFormat="1" s="76">
      <c r="B38" s="24" t="n"/>
      <c r="C38" s="24" t="n"/>
      <c r="D38" s="24" t="n"/>
      <c r="E38" s="24" t="n"/>
      <c r="F38" s="491" t="n"/>
      <c r="G38" s="491" t="n"/>
      <c r="H38" s="24" t="n"/>
      <c r="I38" s="645" t="n"/>
      <c r="J38" s="645" t="n"/>
      <c r="K38" s="491" t="n"/>
      <c r="N38" s="50" t="n"/>
    </row>
    <row r="39" customFormat="1" s="76">
      <c r="B39" s="26" t="n"/>
      <c r="C39" s="26" t="n"/>
      <c r="D39" s="26" t="n"/>
      <c r="E39" s="26" t="n"/>
      <c r="F39" s="26" t="n"/>
      <c r="G39" s="26" t="n"/>
      <c r="H39" s="26" t="n"/>
      <c r="I39" s="644" t="n"/>
      <c r="J39" s="644" t="n"/>
      <c r="K39" s="644" t="n"/>
      <c r="L39" s="644" t="n"/>
      <c r="M39" s="644" t="n"/>
      <c r="N39" s="50" t="n"/>
    </row>
    <row r="41">
      <c r="M41" s="669" t="n"/>
    </row>
    <row r="42">
      <c r="M42" s="670" t="n"/>
    </row>
    <row r="46">
      <c r="C46" s="671" t="n"/>
      <c r="D46" s="671" t="n"/>
      <c r="E46" s="671" t="n"/>
      <c r="F46" s="671" t="n"/>
      <c r="G46" s="671" t="n"/>
      <c r="H46" s="671" t="n"/>
    </row>
    <row r="55">
      <c r="B55" s="26" t="n"/>
      <c r="I55" s="26" t="n"/>
      <c r="J55" s="26" t="n"/>
      <c r="K55" s="26" t="n"/>
      <c r="L55" s="26" t="n"/>
      <c r="M55" s="26" t="n"/>
    </row>
  </sheetData>
  <mergeCells count="15">
    <mergeCell ref="K37:M37"/>
    <mergeCell ref="K38:M38"/>
    <mergeCell ref="B25:J25"/>
    <mergeCell ref="K28:M28"/>
    <mergeCell ref="K29:M29"/>
    <mergeCell ref="K36:M36"/>
    <mergeCell ref="B2:M3"/>
    <mergeCell ref="E5:G5"/>
    <mergeCell ref="M10:M11"/>
    <mergeCell ref="L10:L11"/>
    <mergeCell ref="B10:B11"/>
    <mergeCell ref="C10:J11"/>
    <mergeCell ref="B7:C7"/>
    <mergeCell ref="B8:C8"/>
    <mergeCell ref="K10:K11"/>
  </mergeCells>
  <printOptions horizontalCentered="1"/>
  <pageMargins left="0" right="0" top="0.5511811023622047" bottom="0.7480314960629921" header="0.3149606299212598" footer="0.3149606299212598"/>
  <pageSetup orientation="portrait" paperSize="9" scale="66"/>
  <headerFooter>
    <oddHeader/>
    <oddFooter>&amp;LRPD 03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theme="8" tint="0.7999816888943144"/>
    <outlinePr summaryBelow="1" summaryRight="1"/>
    <pageSetUpPr/>
  </sheetPr>
  <dimension ref="A1:Q34"/>
  <sheetViews>
    <sheetView view="pageBreakPreview" topLeftCell="A13" zoomScaleNormal="100" zoomScaleSheetLayoutView="100" workbookViewId="0">
      <selection activeCell="H40" sqref="H40"/>
    </sheetView>
  </sheetViews>
  <sheetFormatPr baseColWidth="8" defaultColWidth="9.14453125" defaultRowHeight="12.75"/>
  <cols>
    <col width="4.9765625" customWidth="1" style="157" min="1" max="1"/>
    <col width="3.765625" customWidth="1" style="103" min="2" max="2"/>
    <col width="3.8984375" customWidth="1" style="87" min="3" max="3"/>
    <col width="7.93359375" customWidth="1" style="87" min="4" max="4"/>
    <col width="4.16796875" customWidth="1" style="87" min="5" max="5"/>
    <col width="12.5078125" customWidth="1" style="103" min="6" max="6"/>
    <col width="18.4296875" customWidth="1" style="103" min="7" max="7"/>
    <col width="20.4453125" customWidth="1" style="103" min="8" max="8"/>
    <col width="11.703125" bestFit="1" customWidth="1" style="672" min="9" max="9"/>
    <col width="12.10546875" bestFit="1" customWidth="1" style="672" min="10" max="10"/>
    <col width="9.953125" bestFit="1" customWidth="1" style="88" min="11" max="11"/>
    <col width="11.1640625" customWidth="1" style="673" min="12" max="12"/>
    <col width="11.703125" customWidth="1" style="673" min="13" max="13"/>
    <col width="9.14453125" customWidth="1" style="47" min="14" max="14"/>
    <col width="9.953125" bestFit="1" customWidth="1" style="47" min="15" max="15"/>
    <col width="9.14453125" customWidth="1" style="47" min="16" max="17"/>
    <col width="9.14453125" customWidth="1" style="103" min="18" max="16384"/>
  </cols>
  <sheetData>
    <row r="1" ht="19.5" customHeight="1">
      <c r="A1" s="157" t="n"/>
      <c r="B1" s="103" t="n"/>
      <c r="C1" s="87" t="n"/>
      <c r="D1" s="87" t="n"/>
      <c r="E1" s="87" t="n"/>
      <c r="F1" s="103" t="n"/>
      <c r="G1" s="103" t="n"/>
      <c r="H1" s="103" t="n"/>
      <c r="I1" s="672" t="n"/>
      <c r="J1" s="672" t="n"/>
      <c r="K1" s="88" t="n"/>
      <c r="L1" s="673" t="n"/>
      <c r="M1" s="673" t="n"/>
    </row>
    <row r="2" ht="26.25" customHeight="1">
      <c r="A2" s="499" t="inlineStr">
        <is>
          <t>RINCIAN PRESTASI PEKERJAAN</t>
        </is>
      </c>
    </row>
    <row r="3" ht="18.75" customHeight="1">
      <c r="A3" s="157" t="n"/>
      <c r="B3" s="103" t="n"/>
      <c r="C3" s="87" t="n"/>
      <c r="D3" s="87" t="n"/>
      <c r="E3" s="87" t="n"/>
      <c r="F3" s="103" t="n"/>
      <c r="G3" s="103" t="n"/>
      <c r="H3" s="103" t="n"/>
      <c r="I3" s="672" t="n"/>
      <c r="J3" s="672" t="n"/>
      <c r="K3" s="88" t="n"/>
      <c r="L3" s="673" t="n"/>
      <c r="M3" s="673" t="n"/>
    </row>
    <row r="4" ht="13.9" customHeight="1">
      <c r="A4" s="91" t="inlineStr">
        <is>
          <t xml:space="preserve">Nama Pekerjaan </t>
        </is>
      </c>
      <c r="B4" s="92" t="n"/>
      <c r="C4" s="92" t="n"/>
      <c r="E4" s="93" t="inlineStr">
        <is>
          <t>:</t>
        </is>
      </c>
      <c r="F4" s="182">
        <f>+'RPD03'!E6</f>
        <v/>
      </c>
      <c r="G4" s="91" t="n"/>
      <c r="H4" s="91" t="n"/>
      <c r="I4" s="91" t="n"/>
      <c r="J4" s="91" t="n"/>
      <c r="K4" s="91" t="n"/>
      <c r="L4" s="91" t="n"/>
      <c r="M4" s="91" t="n"/>
    </row>
    <row r="5" ht="18.95" customHeight="1">
      <c r="A5" s="92" t="inlineStr">
        <is>
          <t xml:space="preserve">Periode </t>
        </is>
      </c>
      <c r="B5" s="92" t="n"/>
      <c r="C5" s="92" t="n"/>
      <c r="E5" s="93" t="inlineStr">
        <is>
          <t>:</t>
        </is>
      </c>
      <c r="F5" s="95">
        <f>'RPD03'!E5</f>
        <v/>
      </c>
      <c r="G5" s="92" t="n"/>
      <c r="H5" s="92" t="n"/>
      <c r="I5" s="674" t="n"/>
      <c r="J5" s="674" t="n"/>
      <c r="K5" s="93" t="n"/>
      <c r="L5" s="675" t="n"/>
      <c r="M5" s="675" t="n"/>
    </row>
    <row r="6" ht="18.95" customHeight="1">
      <c r="A6" s="92" t="inlineStr">
        <is>
          <t>No. Kontrak</t>
        </is>
      </c>
      <c r="B6" s="92" t="n"/>
      <c r="C6" s="92" t="n"/>
      <c r="E6" s="93" t="inlineStr">
        <is>
          <t>:</t>
        </is>
      </c>
      <c r="F6" s="92">
        <f>+'RPD03'!E7</f>
        <v/>
      </c>
      <c r="G6" s="92" t="n"/>
      <c r="H6" s="92" t="n"/>
      <c r="I6" s="674" t="n"/>
      <c r="J6" s="674" t="n"/>
      <c r="K6" s="93" t="n"/>
      <c r="L6" s="675" t="n"/>
      <c r="M6" s="675" t="n"/>
    </row>
    <row r="7" ht="18.95" customHeight="1">
      <c r="A7" s="92" t="inlineStr">
        <is>
          <t>Jangka Waktu</t>
        </is>
      </c>
      <c r="B7" s="92" t="n"/>
      <c r="C7" s="92" t="n"/>
      <c r="E7" s="93" t="inlineStr">
        <is>
          <t>:</t>
        </is>
      </c>
      <c r="F7" s="92">
        <f>+'RPD03'!E8</f>
        <v/>
      </c>
      <c r="G7" s="92" t="n"/>
      <c r="H7" s="92" t="n"/>
      <c r="I7" s="674" t="n"/>
      <c r="J7" s="674" t="n"/>
      <c r="K7" s="93" t="n"/>
      <c r="L7" s="675" t="n"/>
      <c r="M7" s="675" t="n"/>
    </row>
    <row r="8" ht="18.95" customHeight="1">
      <c r="A8" s="92" t="inlineStr">
        <is>
          <t>Jenis Pekerjaan</t>
        </is>
      </c>
      <c r="B8" s="92" t="n"/>
      <c r="C8" s="92" t="n"/>
      <c r="E8" s="93" t="inlineStr">
        <is>
          <t>:</t>
        </is>
      </c>
      <c r="F8" s="675">
        <f>B14</f>
        <v/>
      </c>
      <c r="G8" s="92" t="n"/>
      <c r="H8" s="92" t="n"/>
      <c r="I8" s="674" t="n"/>
      <c r="J8" s="674" t="n"/>
      <c r="K8" s="93" t="n"/>
      <c r="L8" s="675" t="n"/>
      <c r="M8" s="675" t="n"/>
    </row>
    <row r="9" ht="18" customHeight="1">
      <c r="A9" s="92" t="inlineStr">
        <is>
          <t>Bobot THD Kontrak</t>
        </is>
      </c>
      <c r="B9" s="92" t="n"/>
      <c r="C9" s="92" t="n"/>
      <c r="E9" s="93" t="inlineStr">
        <is>
          <t>:</t>
        </is>
      </c>
      <c r="F9" s="676">
        <f>'RPD03'!K13</f>
        <v/>
      </c>
      <c r="G9" s="92" t="inlineStr">
        <is>
          <t>%</t>
        </is>
      </c>
      <c r="H9" s="92" t="n"/>
      <c r="I9" s="674" t="n"/>
      <c r="J9" s="674" t="n"/>
      <c r="K9" s="93" t="n"/>
      <c r="L9" s="675" t="n"/>
      <c r="M9" s="675" t="n"/>
    </row>
    <row r="10" ht="16.5" customHeight="1">
      <c r="A10" s="98" t="n"/>
      <c r="B10" s="2" t="n"/>
      <c r="C10" s="98" t="n"/>
      <c r="D10" s="98" t="n"/>
      <c r="E10" s="98" t="n"/>
      <c r="F10" s="2" t="n"/>
      <c r="G10" s="2" t="n"/>
      <c r="H10" s="2" t="n"/>
      <c r="I10" s="677" t="n"/>
      <c r="J10" s="677" t="n"/>
      <c r="K10" s="99" t="n"/>
      <c r="L10" s="99" t="n"/>
      <c r="M10" s="99" t="n"/>
    </row>
    <row r="11" ht="11.25" customFormat="1" customHeight="1" s="6">
      <c r="A11" s="678" t="inlineStr">
        <is>
          <t>No</t>
        </is>
      </c>
      <c r="B11" s="678" t="inlineStr">
        <is>
          <t>PERINCIAN PEKERJAAN</t>
        </is>
      </c>
      <c r="C11" s="569" t="n"/>
      <c r="D11" s="569" t="n"/>
      <c r="E11" s="569" t="n"/>
      <c r="F11" s="569" t="n"/>
      <c r="G11" s="569" t="n"/>
      <c r="H11" s="570" t="n"/>
      <c r="I11" s="679" t="inlineStr">
        <is>
          <t>BOBOT MATERIAL (%)</t>
        </is>
      </c>
      <c r="J11" s="679" t="inlineStr">
        <is>
          <t>PRESTASI MATERIAL (%)</t>
        </is>
      </c>
      <c r="K11" s="679" t="inlineStr">
        <is>
          <t>BOBOT JASA (%)</t>
        </is>
      </c>
      <c r="L11" s="679" t="inlineStr">
        <is>
          <t>PRESTASI JASA (%)</t>
        </is>
      </c>
      <c r="M11" s="679" t="inlineStr">
        <is>
          <t>PRESTASI TOTAL (%)</t>
        </is>
      </c>
      <c r="N11" s="46" t="n"/>
      <c r="O11" s="46" t="n"/>
      <c r="P11" s="46" t="n"/>
      <c r="Q11" s="46" t="n"/>
    </row>
    <row r="12" ht="7.5" customFormat="1" customHeight="1" s="6">
      <c r="A12" s="574" t="n"/>
      <c r="B12" s="575" t="n"/>
      <c r="H12" s="576" t="n"/>
      <c r="I12" s="574" t="n"/>
      <c r="J12" s="574" t="n"/>
      <c r="K12" s="574" t="n"/>
      <c r="L12" s="574" t="n"/>
      <c r="M12" s="574" t="n"/>
      <c r="N12" s="46" t="n"/>
      <c r="O12" s="46" t="n"/>
      <c r="P12" s="46" t="n"/>
      <c r="Q12" s="46" t="n"/>
    </row>
    <row r="13" ht="49.5" customFormat="1" customHeight="1" s="6">
      <c r="A13" s="652" t="n"/>
      <c r="B13" s="653" t="n"/>
      <c r="C13" s="654" t="n"/>
      <c r="D13" s="654" t="n"/>
      <c r="E13" s="654" t="n"/>
      <c r="F13" s="654" t="n"/>
      <c r="G13" s="654" t="n"/>
      <c r="H13" s="581" t="n"/>
      <c r="I13" s="652" t="n"/>
      <c r="J13" s="652" t="n"/>
      <c r="K13" s="652" t="n"/>
      <c r="L13" s="652" t="n"/>
      <c r="M13" s="652" t="n"/>
      <c r="N13" s="46" t="n"/>
      <c r="O13" s="46" t="n"/>
      <c r="P13" s="46" t="n"/>
      <c r="Q13" s="46" t="n"/>
    </row>
    <row r="14" ht="18" customHeight="1">
      <c r="A14" s="680" t="inlineStr">
        <is>
          <t>I</t>
        </is>
      </c>
      <c r="B14" s="681">
        <f>'Phisical Check'!B9</f>
        <v/>
      </c>
      <c r="C14" s="682" t="n"/>
      <c r="D14" s="682" t="n"/>
      <c r="E14" s="682" t="n"/>
      <c r="F14" s="682" t="n"/>
      <c r="G14" s="682" t="n"/>
      <c r="H14" s="683" t="n"/>
      <c r="I14" s="684" t="n"/>
      <c r="J14" s="685" t="n"/>
      <c r="K14" s="686" t="n"/>
      <c r="L14" s="687" t="n"/>
      <c r="M14" s="688" t="n"/>
      <c r="O14" s="46" t="n"/>
      <c r="P14" s="46" t="n"/>
    </row>
    <row r="15" ht="18" customHeight="1">
      <c r="A15" s="186" t="n"/>
      <c r="B15" s="150">
        <f>'Phisical Check'!B10</f>
        <v/>
      </c>
      <c r="C15" s="689">
        <f>'Phisical Check'!C10</f>
        <v/>
      </c>
      <c r="D15" s="690" t="n"/>
      <c r="E15" s="690" t="n"/>
      <c r="F15" s="690" t="n"/>
      <c r="G15" s="690" t="n"/>
      <c r="H15" s="691" t="n"/>
      <c r="I15" s="692" t="n"/>
      <c r="J15" s="693" t="n"/>
      <c r="K15" s="156" t="n"/>
      <c r="L15" s="286" t="n"/>
      <c r="M15" s="694" t="n"/>
      <c r="O15" s="46" t="n"/>
      <c r="P15" s="46" t="n"/>
    </row>
    <row r="16" ht="14.45" customFormat="1" customHeight="1" s="2">
      <c r="A16" s="186" t="n"/>
      <c r="B16" s="150" t="n"/>
      <c r="C16" s="689">
        <f>'Phisical Check'!C11</f>
        <v/>
      </c>
      <c r="D16" s="689">
        <f>'Phisical Check'!D11</f>
        <v/>
      </c>
      <c r="E16" s="695" t="n"/>
      <c r="F16" s="695" t="n"/>
      <c r="G16" s="695" t="n"/>
      <c r="H16" s="696" t="n"/>
      <c r="I16" s="692" t="n"/>
      <c r="J16" s="693" t="n"/>
      <c r="K16" s="156" t="n">
        <v>68.5083787786166</v>
      </c>
      <c r="L16" s="286">
        <f>'Phisical Check'!R11</f>
        <v/>
      </c>
      <c r="M16" s="694">
        <f>((I16*J16%)+(K16*L16%))*100</f>
        <v/>
      </c>
      <c r="N16" s="101" t="n"/>
      <c r="O16" s="43" t="n"/>
      <c r="P16" s="43" t="n"/>
      <c r="Q16" s="43" t="n"/>
    </row>
    <row r="17" ht="16.9" customFormat="1" customHeight="1" s="2">
      <c r="A17" s="186" t="n"/>
      <c r="B17" s="150">
        <f>'Phisical Check'!B12</f>
        <v/>
      </c>
      <c r="C17" s="689">
        <f>'Phisical Check'!C12</f>
        <v/>
      </c>
      <c r="D17" s="138" t="n"/>
      <c r="E17" s="138" t="n"/>
      <c r="F17" s="138" t="n"/>
      <c r="G17" s="138" t="n"/>
      <c r="H17" s="139" t="n"/>
      <c r="I17" s="692" t="n"/>
      <c r="J17" s="693" t="n"/>
      <c r="K17" s="156" t="n"/>
      <c r="L17" s="286" t="n"/>
      <c r="M17" s="694" t="n"/>
      <c r="N17" s="101" t="n"/>
      <c r="O17" s="43" t="n"/>
      <c r="P17" s="43" t="n"/>
      <c r="Q17" s="43" t="n"/>
    </row>
    <row r="18" ht="18" customFormat="1" customHeight="1" s="2">
      <c r="A18" s="186" t="n"/>
      <c r="B18" s="150" t="n"/>
      <c r="C18" s="689">
        <f>'Phisical Check'!C13</f>
        <v/>
      </c>
      <c r="D18" s="689">
        <f>'Phisical Check'!D13</f>
        <v/>
      </c>
      <c r="E18" s="695" t="n"/>
      <c r="F18" s="695" t="n"/>
      <c r="G18" s="695" t="n"/>
      <c r="H18" s="696" t="n"/>
      <c r="I18" s="692" t="n"/>
      <c r="J18" s="693" t="n"/>
      <c r="K18" s="156" t="n">
        <v>1.966313245260966</v>
      </c>
      <c r="L18" s="286">
        <f>'Phisical Check'!R13</f>
        <v/>
      </c>
      <c r="M18" s="694">
        <f>((I18*J18%)+(K18*L18%))*100</f>
        <v/>
      </c>
      <c r="N18" s="101" t="n"/>
      <c r="O18" s="43" t="n"/>
      <c r="P18" s="43" t="n"/>
      <c r="Q18" s="43" t="n"/>
    </row>
    <row r="19" ht="18" customFormat="1" customHeight="1" s="2">
      <c r="A19" s="160" t="n"/>
      <c r="B19" s="150" t="n"/>
      <c r="C19" s="689">
        <f>'Phisical Check'!C14</f>
        <v/>
      </c>
      <c r="D19" s="689">
        <f>'Phisical Check'!D14</f>
        <v/>
      </c>
      <c r="E19" s="695" t="n"/>
      <c r="F19" s="695" t="n"/>
      <c r="G19" s="695" t="n"/>
      <c r="H19" s="696" t="n"/>
      <c r="I19" s="692" t="n"/>
      <c r="J19" s="697" t="n"/>
      <c r="K19" s="156" t="n">
        <v>11.72852144923379</v>
      </c>
      <c r="L19" s="286">
        <f>'Phisical Check'!R14</f>
        <v/>
      </c>
      <c r="M19" s="694">
        <f>((I19*J19%)+(K19*L19%))*100</f>
        <v/>
      </c>
      <c r="N19" s="101" t="n"/>
      <c r="O19" s="43" t="n"/>
      <c r="P19" s="43" t="n"/>
      <c r="Q19" s="43" t="n"/>
    </row>
    <row r="20" ht="18" customFormat="1" customHeight="1" s="2">
      <c r="A20" s="160" t="n"/>
      <c r="B20" s="150" t="n"/>
      <c r="C20" s="689">
        <f>'Phisical Check'!C15</f>
        <v/>
      </c>
      <c r="D20" s="689">
        <f>'Phisical Check'!D15</f>
        <v/>
      </c>
      <c r="E20" s="695" t="n"/>
      <c r="F20" s="695" t="n"/>
      <c r="G20" s="695" t="n"/>
      <c r="H20" s="696" t="n"/>
      <c r="I20" s="692" t="n"/>
      <c r="J20" s="697" t="n"/>
      <c r="K20" s="156" t="n">
        <v>0.8409128586243091</v>
      </c>
      <c r="L20" s="286">
        <f>'Phisical Check'!R15</f>
        <v/>
      </c>
      <c r="M20" s="694">
        <f>((I20*J20%)+(K20*L20%))*100</f>
        <v/>
      </c>
      <c r="N20" s="101" t="n"/>
      <c r="O20" s="43" t="n"/>
      <c r="P20" s="43" t="n"/>
      <c r="Q20" s="43" t="n"/>
    </row>
    <row r="21" ht="18" customFormat="1" customHeight="1" s="2">
      <c r="A21" s="160" t="n"/>
      <c r="B21" s="150" t="n"/>
      <c r="C21" s="689">
        <f>'Phisical Check'!C16</f>
        <v/>
      </c>
      <c r="D21" s="689">
        <f>'Phisical Check'!D16</f>
        <v/>
      </c>
      <c r="E21" s="695" t="n"/>
      <c r="F21" s="695" t="n"/>
      <c r="G21" s="695" t="n"/>
      <c r="H21" s="696" t="n"/>
      <c r="I21" s="692" t="n"/>
      <c r="J21" s="697" t="n"/>
      <c r="K21" s="156" t="n">
        <v>16.95587366826434</v>
      </c>
      <c r="L21" s="286">
        <f>'Phisical Check'!R16</f>
        <v/>
      </c>
      <c r="M21" s="694">
        <f>((I21*J21%)+(K21*L21%))*100</f>
        <v/>
      </c>
      <c r="N21" s="101" t="n"/>
      <c r="O21" s="43" t="n"/>
      <c r="P21" s="43" t="n"/>
      <c r="Q21" s="43" t="n"/>
    </row>
    <row r="22" ht="27.95" customFormat="1" customHeight="1" s="2">
      <c r="A22" s="698" t="n"/>
      <c r="B22" s="699" t="inlineStr">
        <is>
          <t>JUMLAH</t>
        </is>
      </c>
      <c r="C22" s="668" t="n"/>
      <c r="D22" s="668" t="n"/>
      <c r="E22" s="668" t="n"/>
      <c r="F22" s="668" t="n"/>
      <c r="G22" s="668" t="n"/>
      <c r="H22" s="668" t="n"/>
      <c r="I22" s="668" t="n"/>
      <c r="J22" s="668" t="n"/>
      <c r="K22" s="668" t="n"/>
      <c r="L22" s="578" t="n"/>
      <c r="M22" s="700">
        <f>SUM(M14:M21)</f>
        <v/>
      </c>
      <c r="N22" s="43" t="n"/>
      <c r="O22" s="42" t="n"/>
      <c r="P22" s="42" t="n"/>
      <c r="Q22" s="43" t="n"/>
    </row>
    <row r="23" ht="13.35" customHeight="1">
      <c r="K23" s="701" t="n"/>
    </row>
    <row r="24" ht="13.35" customHeight="1"/>
    <row r="25" ht="13.35" customHeight="1">
      <c r="B25" s="128" t="inlineStr">
        <is>
          <t>Disetujui :</t>
        </is>
      </c>
      <c r="C25" s="128" t="n"/>
      <c r="D25" s="128" t="n"/>
      <c r="E25" s="128" t="n"/>
      <c r="F25" s="128" t="n"/>
      <c r="G25" s="128" t="n"/>
      <c r="H25" s="128" t="n"/>
      <c r="I25" s="702">
        <f>'RPD03'!K27</f>
        <v/>
      </c>
      <c r="J25" s="103" t="n"/>
      <c r="L25" s="702" t="n"/>
      <c r="M25" s="702" t="n"/>
      <c r="N25" s="703" t="n"/>
    </row>
    <row r="26" ht="13.35" customHeight="1">
      <c r="B26" s="128">
        <f>'RPD03'!C29</f>
        <v/>
      </c>
      <c r="C26" s="128" t="n"/>
      <c r="D26" s="128" t="n"/>
      <c r="E26" s="128" t="n"/>
      <c r="F26" s="128" t="n"/>
      <c r="G26" s="128" t="n"/>
      <c r="H26" s="128" t="n"/>
      <c r="I26" s="704">
        <f>'RPD03'!K29</f>
        <v/>
      </c>
      <c r="J26" s="103" t="n"/>
      <c r="L26" s="704" t="n"/>
      <c r="M26" s="704" t="n"/>
      <c r="N26" s="705" t="n"/>
    </row>
    <row r="27" ht="13.35" customHeight="1">
      <c r="B27" s="103" t="n"/>
      <c r="C27" s="103" t="n"/>
      <c r="D27" s="103" t="n"/>
      <c r="E27" s="103" t="n"/>
      <c r="F27" s="103" t="n"/>
      <c r="G27" s="103" t="n"/>
      <c r="H27" s="87" t="n"/>
      <c r="I27" s="706" t="n"/>
      <c r="J27" s="103" t="n"/>
      <c r="L27" s="104" t="n"/>
      <c r="M27" s="707" t="n"/>
      <c r="N27" s="708" t="n"/>
    </row>
    <row r="28" ht="13.35" customHeight="1">
      <c r="B28" s="157" t="n"/>
      <c r="H28" s="87" t="n"/>
      <c r="I28" s="706" t="n"/>
      <c r="J28" s="103" t="n"/>
      <c r="L28" s="104" t="n"/>
      <c r="M28" s="707" t="n"/>
      <c r="N28" s="708" t="n"/>
    </row>
    <row r="29" ht="13.35" customHeight="1">
      <c r="B29" s="157" t="n"/>
      <c r="H29" s="87" t="n"/>
      <c r="I29" s="706" t="n"/>
      <c r="J29" s="103" t="n"/>
      <c r="L29" s="104" t="n"/>
      <c r="M29" s="707" t="n"/>
      <c r="N29" s="708" t="n"/>
    </row>
    <row r="30" ht="13.35" customHeight="1">
      <c r="B30" s="157" t="n"/>
      <c r="H30" s="87" t="n"/>
      <c r="I30" s="706" t="n"/>
      <c r="J30" s="103" t="n"/>
      <c r="L30" s="104" t="n"/>
      <c r="M30" s="707" t="n"/>
      <c r="N30" s="708" t="n"/>
    </row>
    <row r="31" ht="13.35" customHeight="1">
      <c r="B31" s="157" t="n"/>
      <c r="H31" s="87" t="n"/>
      <c r="I31" s="706" t="n"/>
      <c r="J31" s="103" t="n"/>
      <c r="L31" s="104" t="n"/>
      <c r="M31" s="707" t="n"/>
      <c r="N31" s="708" t="n"/>
    </row>
    <row r="32" ht="13.35" customHeight="1">
      <c r="B32" s="157" t="n"/>
      <c r="H32" s="87" t="n"/>
      <c r="I32" s="103" t="n"/>
      <c r="J32" s="103" t="n"/>
      <c r="L32" s="103" t="n"/>
      <c r="M32" s="103" t="n"/>
    </row>
    <row r="33" ht="13.35" customHeight="1">
      <c r="B33" s="158" t="inlineStr">
        <is>
          <t>RISMAN EKO PRASETYO</t>
        </is>
      </c>
      <c r="C33" s="128" t="n"/>
      <c r="D33" s="128" t="n"/>
      <c r="E33" s="128" t="n"/>
      <c r="G33" s="128" t="n"/>
      <c r="H33" s="127" t="n"/>
      <c r="I33" s="704">
        <f>'RPD03'!K36</f>
        <v/>
      </c>
      <c r="J33" s="103" t="n"/>
      <c r="L33" s="704" t="n"/>
      <c r="M33" s="704" t="n"/>
      <c r="N33" s="705" t="n"/>
    </row>
    <row r="34" ht="13.35" customHeight="1">
      <c r="B34" s="128" t="inlineStr">
        <is>
          <t>Ast Man Construction RPD JBT</t>
        </is>
      </c>
      <c r="C34" s="128" t="n"/>
      <c r="D34" s="128" t="n"/>
      <c r="E34" s="128" t="n"/>
      <c r="G34" s="128" t="n"/>
      <c r="H34" s="128" t="n"/>
      <c r="I34" s="704">
        <f>'RPD03'!K37</f>
        <v/>
      </c>
      <c r="J34" s="103" t="n"/>
      <c r="L34" s="704" t="n"/>
      <c r="M34" s="704" t="n"/>
      <c r="N34" s="705" t="n"/>
    </row>
  </sheetData>
  <mergeCells count="9">
    <mergeCell ref="M11:M13"/>
    <mergeCell ref="A2:M2"/>
    <mergeCell ref="A11:A13"/>
    <mergeCell ref="B22:L22"/>
    <mergeCell ref="L11:L13"/>
    <mergeCell ref="B11:H13"/>
    <mergeCell ref="I11:I13"/>
    <mergeCell ref="J11:J13"/>
    <mergeCell ref="K11:K13"/>
  </mergeCells>
  <printOptions horizontalCentered="1"/>
  <pageMargins left="0" right="0" top="0.3543307086614174" bottom="0.7480314960629921" header="0.3149606299212598" footer="0.3149606299212598"/>
  <pageSetup orientation="portrait" paperSize="9" scale="75"/>
  <headerFooter>
    <oddHeader/>
    <oddFooter>&amp;LRPD 03A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theme="8" tint="0.7999816888943144"/>
    <outlinePr summaryBelow="1" summaryRight="1"/>
    <pageSetUpPr/>
  </sheetPr>
  <dimension ref="A1:S33"/>
  <sheetViews>
    <sheetView view="pageBreakPreview" topLeftCell="A7" zoomScale="90" zoomScaleNormal="100" zoomScaleSheetLayoutView="90" workbookViewId="0">
      <selection activeCell="I24" sqref="I24:I33"/>
    </sheetView>
  </sheetViews>
  <sheetFormatPr baseColWidth="8" defaultColWidth="9.14453125" defaultRowHeight="12.75"/>
  <cols>
    <col width="4.9765625" customWidth="1" style="157" min="1" max="1"/>
    <col width="4.03515625" customWidth="1" style="103" min="2" max="2"/>
    <col width="3.09375" customWidth="1" style="87" min="3" max="3"/>
    <col width="7.6640625" customWidth="1" style="87" min="4" max="4"/>
    <col width="2.5546875" customWidth="1" style="87" min="5" max="5"/>
    <col width="12.5078125" customWidth="1" style="103" min="6" max="6"/>
    <col width="16.94921875" customWidth="1" style="103" min="7" max="7"/>
    <col width="27.57421875" customWidth="1" style="103" min="8" max="8"/>
    <col width="11.703125" bestFit="1" customWidth="1" style="672" min="9" max="9"/>
    <col width="12.10546875" bestFit="1" customWidth="1" style="672" min="10" max="10"/>
    <col width="9.953125" bestFit="1" customWidth="1" style="88" min="11" max="11"/>
    <col width="11.1640625" customWidth="1" style="673" min="12" max="12"/>
    <col width="11.43359375" customWidth="1" style="673" min="13" max="13"/>
    <col width="12.10546875" customWidth="1" style="673" min="14" max="15"/>
    <col width="9.14453125" customWidth="1" style="47" min="16" max="16"/>
    <col width="9.953125" bestFit="1" customWidth="1" style="47" min="17" max="17"/>
    <col width="9.14453125" customWidth="1" style="47" min="18" max="19"/>
    <col width="9.14453125" customWidth="1" style="103" min="20" max="16384"/>
  </cols>
  <sheetData>
    <row r="1" ht="19.5" customHeight="1">
      <c r="A1" s="157" t="n"/>
      <c r="B1" s="103" t="n"/>
      <c r="C1" s="87" t="n"/>
      <c r="D1" s="87" t="n"/>
      <c r="E1" s="87" t="n"/>
      <c r="F1" s="103" t="n"/>
      <c r="G1" s="103" t="n"/>
      <c r="H1" s="103" t="n"/>
      <c r="I1" s="672" t="n"/>
      <c r="J1" s="672" t="n"/>
      <c r="K1" s="88" t="n"/>
      <c r="L1" s="673" t="n"/>
      <c r="M1" s="673" t="n"/>
      <c r="N1" s="673" t="n"/>
      <c r="O1" s="673" t="n"/>
    </row>
    <row r="2" ht="26.25" customHeight="1">
      <c r="A2" s="499" t="inlineStr">
        <is>
          <t>RINCIAN PRESTASI PEKERJAAN</t>
        </is>
      </c>
      <c r="N2" s="499" t="n"/>
      <c r="O2" s="499" t="n"/>
    </row>
    <row r="3" ht="18.6" customHeight="1">
      <c r="A3" s="157" t="n"/>
      <c r="B3" s="103" t="n"/>
      <c r="C3" s="87" t="n"/>
      <c r="D3" s="87" t="n"/>
      <c r="E3" s="87" t="n"/>
      <c r="F3" s="103" t="n"/>
      <c r="G3" s="103" t="n"/>
      <c r="H3" s="103" t="n"/>
      <c r="I3" s="672" t="n"/>
      <c r="J3" s="672" t="n"/>
      <c r="K3" s="88" t="n"/>
      <c r="L3" s="673" t="n"/>
      <c r="M3" s="673" t="n"/>
      <c r="N3" s="673" t="n"/>
      <c r="O3" s="673" t="n"/>
    </row>
    <row r="4" ht="16.15" customHeight="1">
      <c r="A4" s="174" t="inlineStr">
        <is>
          <t xml:space="preserve">Nama Pekerjaan </t>
        </is>
      </c>
      <c r="B4" s="174" t="n"/>
      <c r="C4" s="174" t="n"/>
      <c r="D4" s="175" t="n"/>
      <c r="E4" s="176" t="inlineStr">
        <is>
          <t>:</t>
        </is>
      </c>
      <c r="F4" s="289">
        <f>+'RPD03'!E6</f>
        <v/>
      </c>
      <c r="G4" s="174" t="n"/>
      <c r="H4" s="174" t="n"/>
      <c r="I4" s="174" t="n"/>
      <c r="J4" s="174" t="n"/>
      <c r="K4" s="174" t="n"/>
      <c r="L4" s="174" t="n"/>
      <c r="M4" s="174" t="n"/>
      <c r="N4" s="94" t="n"/>
      <c r="O4" s="94" t="n"/>
    </row>
    <row r="5" ht="18.95" customFormat="1" customHeight="1" s="181">
      <c r="A5" s="91" t="inlineStr">
        <is>
          <t xml:space="preserve">Periode </t>
        </is>
      </c>
      <c r="B5" s="91" t="n"/>
      <c r="C5" s="91" t="n"/>
      <c r="D5" s="177" t="n"/>
      <c r="E5" s="117" t="inlineStr">
        <is>
          <t>:</t>
        </is>
      </c>
      <c r="F5" s="178">
        <f>+'03A-1'!F5</f>
        <v/>
      </c>
      <c r="G5" s="91" t="n"/>
      <c r="H5" s="91" t="n"/>
      <c r="I5" s="709" t="n"/>
      <c r="J5" s="709" t="n"/>
      <c r="K5" s="117" t="n"/>
      <c r="L5" s="710" t="n"/>
      <c r="M5" s="710" t="n"/>
      <c r="N5" s="710" t="n"/>
      <c r="O5" s="710" t="n"/>
      <c r="P5" s="171" t="n"/>
      <c r="Q5" s="171" t="n"/>
      <c r="R5" s="171" t="n"/>
      <c r="S5" s="171" t="n"/>
    </row>
    <row r="6" ht="18.95" customFormat="1" customHeight="1" s="181">
      <c r="A6" s="91" t="inlineStr">
        <is>
          <t>No. Kontrak</t>
        </is>
      </c>
      <c r="B6" s="91" t="n"/>
      <c r="C6" s="91" t="n"/>
      <c r="D6" s="177" t="n"/>
      <c r="E6" s="117" t="inlineStr">
        <is>
          <t>:</t>
        </is>
      </c>
      <c r="F6" s="91">
        <f>+'RPD03'!E7</f>
        <v/>
      </c>
      <c r="G6" s="91" t="n"/>
      <c r="H6" s="91" t="n"/>
      <c r="I6" s="709" t="n"/>
      <c r="J6" s="709" t="n"/>
      <c r="K6" s="117" t="n"/>
      <c r="L6" s="710" t="n"/>
      <c r="M6" s="710" t="n"/>
      <c r="N6" s="710" t="n"/>
      <c r="O6" s="710" t="n"/>
      <c r="P6" s="171" t="n"/>
      <c r="Q6" s="171" t="n"/>
      <c r="R6" s="171" t="n"/>
      <c r="S6" s="171" t="n"/>
    </row>
    <row r="7" ht="18.95" customFormat="1" customHeight="1" s="181">
      <c r="A7" s="91" t="inlineStr">
        <is>
          <t>Jangka Waktu</t>
        </is>
      </c>
      <c r="B7" s="91" t="n"/>
      <c r="C7" s="91" t="n"/>
      <c r="D7" s="177" t="n"/>
      <c r="E7" s="117" t="inlineStr">
        <is>
          <t>:</t>
        </is>
      </c>
      <c r="F7" s="91">
        <f>+'RPD03'!E8</f>
        <v/>
      </c>
      <c r="G7" s="91" t="n"/>
      <c r="H7" s="91" t="n"/>
      <c r="I7" s="709" t="n"/>
      <c r="J7" s="709" t="n"/>
      <c r="K7" s="117" t="n"/>
      <c r="L7" s="710" t="n"/>
      <c r="M7" s="710" t="n"/>
      <c r="N7" s="710" t="n"/>
      <c r="O7" s="710" t="n"/>
      <c r="P7" s="171" t="n"/>
      <c r="Q7" s="171" t="n"/>
      <c r="R7" s="171" t="n"/>
      <c r="S7" s="171" t="n"/>
    </row>
    <row r="8" ht="18.95" customFormat="1" customHeight="1" s="181">
      <c r="A8" s="91" t="inlineStr">
        <is>
          <t>Jenis Pekerjaan</t>
        </is>
      </c>
      <c r="B8" s="91" t="n"/>
      <c r="C8" s="91" t="n"/>
      <c r="D8" s="177" t="n"/>
      <c r="E8" s="117" t="inlineStr">
        <is>
          <t>:</t>
        </is>
      </c>
      <c r="F8" s="710">
        <f>B14</f>
        <v/>
      </c>
      <c r="G8" s="91" t="n"/>
      <c r="H8" s="91" t="n"/>
      <c r="I8" s="709" t="n"/>
      <c r="J8" s="709" t="n"/>
      <c r="K8" s="117" t="n"/>
      <c r="L8" s="710" t="n"/>
      <c r="M8" s="710" t="n"/>
      <c r="N8" s="710" t="n"/>
      <c r="O8" s="710" t="n"/>
      <c r="P8" s="171" t="n"/>
      <c r="Q8" s="171" t="n"/>
      <c r="R8" s="171" t="n"/>
      <c r="S8" s="171" t="n"/>
    </row>
    <row r="9" ht="18.95" customFormat="1" customHeight="1" s="181">
      <c r="A9" s="91" t="inlineStr">
        <is>
          <t>Bobot THD Kontrak</t>
        </is>
      </c>
      <c r="B9" s="91" t="n"/>
      <c r="C9" s="91" t="n"/>
      <c r="D9" s="177" t="n"/>
      <c r="E9" s="117" t="inlineStr">
        <is>
          <t>:</t>
        </is>
      </c>
      <c r="F9" s="182">
        <f>'RPD03'!K15</f>
        <v/>
      </c>
      <c r="G9" s="91" t="inlineStr">
        <is>
          <t>%</t>
        </is>
      </c>
      <c r="H9" s="91" t="n"/>
      <c r="I9" s="709" t="n"/>
      <c r="J9" s="709" t="n"/>
      <c r="K9" s="117" t="n"/>
      <c r="L9" s="710" t="n"/>
      <c r="M9" s="710" t="n"/>
      <c r="N9" s="710" t="n"/>
      <c r="O9" s="710" t="n"/>
      <c r="P9" s="171" t="n"/>
      <c r="Q9" s="171" t="n"/>
      <c r="R9" s="171" t="n"/>
      <c r="S9" s="171" t="n"/>
    </row>
    <row r="10" ht="16.5" customHeight="1">
      <c r="A10" s="98" t="n"/>
      <c r="B10" s="2" t="n"/>
      <c r="C10" s="98" t="n"/>
      <c r="D10" s="98" t="n"/>
      <c r="E10" s="98" t="n"/>
      <c r="F10" s="2" t="n"/>
      <c r="G10" s="2" t="n"/>
      <c r="H10" s="2" t="n"/>
      <c r="I10" s="677" t="n"/>
      <c r="J10" s="677" t="n"/>
      <c r="K10" s="515" t="n"/>
      <c r="L10" s="654" t="n"/>
      <c r="M10" s="654" t="n"/>
      <c r="N10" s="107" t="n"/>
      <c r="O10" s="107" t="n"/>
    </row>
    <row r="11" ht="11.25" customFormat="1" customHeight="1" s="6">
      <c r="A11" s="678" t="inlineStr">
        <is>
          <t>No</t>
        </is>
      </c>
      <c r="B11" s="678" t="inlineStr">
        <is>
          <t>PERINCIAN PEKERJAAN</t>
        </is>
      </c>
      <c r="C11" s="569" t="n"/>
      <c r="D11" s="569" t="n"/>
      <c r="E11" s="569" t="n"/>
      <c r="F11" s="569" t="n"/>
      <c r="G11" s="569" t="n"/>
      <c r="H11" s="570" t="n"/>
      <c r="I11" s="679" t="inlineStr">
        <is>
          <t>BOBOT MATERIAL (%)</t>
        </is>
      </c>
      <c r="J11" s="679" t="inlineStr">
        <is>
          <t>PRESTASI MATERIAL (%)</t>
        </is>
      </c>
      <c r="K11" s="679" t="inlineStr">
        <is>
          <t>BOBOT JASA (%)</t>
        </is>
      </c>
      <c r="L11" s="679" t="inlineStr">
        <is>
          <t>PRESTASI JASA (%)</t>
        </is>
      </c>
      <c r="M11" s="679" t="inlineStr">
        <is>
          <t>PRESTASI TOTAL (%)</t>
        </is>
      </c>
      <c r="N11" s="711" t="n"/>
      <c r="O11" s="711" t="n"/>
      <c r="P11" s="46" t="n"/>
      <c r="Q11" s="46" t="n"/>
      <c r="R11" s="46" t="n"/>
      <c r="S11" s="46" t="n"/>
    </row>
    <row r="12" ht="7.5" customFormat="1" customHeight="1" s="6">
      <c r="A12" s="574" t="n"/>
      <c r="B12" s="575" t="n"/>
      <c r="H12" s="576" t="n"/>
      <c r="I12" s="574" t="n"/>
      <c r="J12" s="574" t="n"/>
      <c r="K12" s="574" t="n"/>
      <c r="L12" s="574" t="n"/>
      <c r="M12" s="574" t="n"/>
      <c r="N12" s="711" t="n"/>
      <c r="O12" s="711" t="n"/>
      <c r="P12" s="46" t="n"/>
      <c r="Q12" s="46" t="n"/>
      <c r="R12" s="46" t="n"/>
      <c r="S12" s="46" t="n"/>
    </row>
    <row r="13" ht="49.5" customFormat="1" customHeight="1" s="6">
      <c r="A13" s="652" t="n"/>
      <c r="B13" s="653" t="n"/>
      <c r="C13" s="654" t="n"/>
      <c r="D13" s="654" t="n"/>
      <c r="E13" s="654" t="n"/>
      <c r="F13" s="654" t="n"/>
      <c r="G13" s="654" t="n"/>
      <c r="H13" s="581" t="n"/>
      <c r="I13" s="652" t="n"/>
      <c r="J13" s="652" t="n"/>
      <c r="K13" s="652" t="n"/>
      <c r="L13" s="652" t="n"/>
      <c r="M13" s="652" t="n"/>
      <c r="N13" s="711" t="n"/>
      <c r="O13" s="711" t="n"/>
      <c r="P13" s="46" t="n"/>
      <c r="Q13" s="46" t="n"/>
      <c r="R13" s="46" t="n"/>
      <c r="S13" s="46" t="n"/>
    </row>
    <row r="14" ht="16.9" customFormat="1" customHeight="1" s="181">
      <c r="A14" s="680" t="inlineStr">
        <is>
          <t>II</t>
        </is>
      </c>
      <c r="B14" s="681">
        <f>'Phisical Check'!B18</f>
        <v/>
      </c>
      <c r="C14" s="682" t="n"/>
      <c r="D14" s="682" t="n"/>
      <c r="E14" s="682" t="n"/>
      <c r="F14" s="682" t="n"/>
      <c r="G14" s="682" t="n"/>
      <c r="H14" s="683" t="n"/>
      <c r="I14" s="712" t="n"/>
      <c r="J14" s="713" t="n"/>
      <c r="K14" s="714" t="n"/>
      <c r="L14" s="687" t="n"/>
      <c r="M14" s="715" t="n"/>
      <c r="N14" s="716" t="n"/>
      <c r="O14" s="716" t="n"/>
      <c r="P14" s="171" t="n"/>
      <c r="Q14" s="46" t="n"/>
      <c r="R14" s="46" t="n"/>
      <c r="S14" s="171" t="n"/>
    </row>
    <row r="15" ht="16.9" customFormat="1" customHeight="1" s="181">
      <c r="A15" s="160" t="n"/>
      <c r="B15" s="165" t="inlineStr">
        <is>
          <t>A</t>
        </is>
      </c>
      <c r="C15" s="138" t="inlineStr">
        <is>
          <t>Pemenuhan Dokumen Project &amp; Engineering</t>
        </is>
      </c>
      <c r="D15" s="143" t="n"/>
      <c r="E15" s="143" t="n"/>
      <c r="F15" s="143" t="n"/>
      <c r="G15" s="143" t="n"/>
      <c r="H15" s="144" t="n"/>
      <c r="I15" s="692" t="n"/>
      <c r="J15" s="693" t="n"/>
      <c r="K15" s="717" t="n"/>
      <c r="L15" s="285" t="n"/>
      <c r="M15" s="694" t="n"/>
      <c r="N15" s="718" t="n"/>
      <c r="O15" s="718" t="n"/>
      <c r="P15" s="173" t="n"/>
      <c r="Q15" s="171" t="n"/>
      <c r="R15" s="171" t="n"/>
      <c r="S15" s="171" t="n"/>
    </row>
    <row r="16" ht="16.9" customFormat="1" customHeight="1" s="181">
      <c r="A16" s="160" t="n"/>
      <c r="B16" s="165" t="n"/>
      <c r="C16" s="138" t="inlineStr">
        <is>
          <t>a.1</t>
        </is>
      </c>
      <c r="D16" s="689" t="inlineStr">
        <is>
          <t>Laporan Teknis dan HSSE Bulanan (1 set/project)</t>
        </is>
      </c>
      <c r="E16" s="719" t="n"/>
      <c r="F16" s="719" t="n"/>
      <c r="G16" s="719" t="n"/>
      <c r="H16" s="720" t="n"/>
      <c r="I16" s="692" t="n"/>
      <c r="J16" s="693" t="n"/>
      <c r="K16" s="717" t="n">
        <v>6.258135576249124</v>
      </c>
      <c r="L16" s="285">
        <f>'Phisical Check'!R20</f>
        <v/>
      </c>
      <c r="M16" s="694">
        <f>((I16*J16%)+(K16*L16%))*100</f>
        <v/>
      </c>
      <c r="N16" s="718" t="n"/>
      <c r="O16" s="718" t="n"/>
      <c r="P16" s="173" t="n"/>
      <c r="Q16" s="171" t="n"/>
      <c r="R16" s="171" t="n"/>
      <c r="S16" s="171" t="n"/>
    </row>
    <row r="17" ht="16.9" customFormat="1" customHeight="1" s="181">
      <c r="A17" s="160" t="n"/>
      <c r="B17" s="165" t="n"/>
      <c r="C17" s="138" t="inlineStr">
        <is>
          <t>a.2</t>
        </is>
      </c>
      <c r="D17" s="689" t="inlineStr">
        <is>
          <t>MCU personil</t>
        </is>
      </c>
      <c r="E17" s="719" t="n"/>
      <c r="F17" s="719" t="n"/>
      <c r="G17" s="719" t="n"/>
      <c r="H17" s="720" t="n"/>
      <c r="I17" s="692" t="n"/>
      <c r="J17" s="693" t="n"/>
      <c r="K17" s="717" t="n">
        <v>9.285404359000033</v>
      </c>
      <c r="L17" s="285">
        <f>'Phisical Check'!R21</f>
        <v/>
      </c>
      <c r="M17" s="694">
        <f>((I17*J17%)+(K17*L17%))*100</f>
        <v/>
      </c>
      <c r="N17" s="718" t="n"/>
      <c r="O17" s="718" t="n"/>
      <c r="P17" s="173" t="n"/>
      <c r="Q17" s="171" t="n"/>
      <c r="R17" s="171" t="n"/>
      <c r="S17" s="171" t="n"/>
    </row>
    <row r="18" ht="16.9" customFormat="1" customHeight="1" s="181">
      <c r="A18" s="160" t="n"/>
      <c r="B18" s="165" t="n"/>
      <c r="C18" s="138" t="inlineStr">
        <is>
          <t>a.3</t>
        </is>
      </c>
      <c r="D18" s="689" t="inlineStr">
        <is>
          <t>Inspection Report</t>
        </is>
      </c>
      <c r="E18" s="719" t="n"/>
      <c r="F18" s="719" t="n"/>
      <c r="G18" s="719" t="n"/>
      <c r="H18" s="720" t="n"/>
      <c r="I18" s="692" t="n"/>
      <c r="J18" s="693" t="n"/>
      <c r="K18" s="717" t="n">
        <v>3.129067788124562</v>
      </c>
      <c r="L18" s="285">
        <f>'Phisical Check'!R22</f>
        <v/>
      </c>
      <c r="M18" s="694">
        <f>((I18*J18%)+(K18*L18%))*100</f>
        <v/>
      </c>
      <c r="N18" s="718" t="n"/>
      <c r="O18" s="718" t="n"/>
      <c r="P18" s="173" t="n"/>
      <c r="Q18" s="171" t="n"/>
      <c r="R18" s="171" t="n"/>
      <c r="S18" s="171" t="n"/>
    </row>
    <row r="19" ht="16.9" customFormat="1" customHeight="1" s="181">
      <c r="A19" s="721" t="n"/>
      <c r="B19" s="165" t="inlineStr">
        <is>
          <t>B</t>
        </is>
      </c>
      <c r="C19" s="138" t="inlineStr">
        <is>
          <t>Project Management (Kualifikasi dan Jumlah Personil sesuai dengan Kriteria Evaluasi Teknis dalam RKS)</t>
        </is>
      </c>
      <c r="D19" s="689" t="n"/>
      <c r="E19" s="719" t="n"/>
      <c r="F19" s="719" t="n"/>
      <c r="G19" s="719" t="n"/>
      <c r="H19" s="720" t="n"/>
      <c r="I19" s="692" t="n"/>
      <c r="J19" s="693" t="n"/>
      <c r="K19" s="717" t="n"/>
      <c r="L19" s="285" t="n"/>
      <c r="M19" s="694" t="n"/>
      <c r="N19" s="718" t="n"/>
      <c r="O19" s="718" t="n"/>
      <c r="P19" s="173" t="n"/>
      <c r="Q19" s="171" t="n"/>
      <c r="R19" s="171" t="n"/>
      <c r="S19" s="171" t="n"/>
    </row>
    <row r="20" ht="16.9" customFormat="1" customHeight="1" s="181">
      <c r="A20" s="721" t="n"/>
      <c r="B20" s="165" t="n"/>
      <c r="C20" s="138" t="inlineStr">
        <is>
          <t>b.1</t>
        </is>
      </c>
      <c r="D20" s="689" t="inlineStr">
        <is>
          <t>Safetyman</t>
        </is>
      </c>
      <c r="E20" s="719" t="n"/>
      <c r="F20" s="719" t="n"/>
      <c r="G20" s="719" t="n"/>
      <c r="H20" s="720" t="n"/>
      <c r="I20" s="692" t="n"/>
      <c r="J20" s="693" t="n"/>
      <c r="K20" s="717" t="n">
        <v>81.32739227662628</v>
      </c>
      <c r="L20" s="285">
        <f>'Phisical Check'!R24</f>
        <v/>
      </c>
      <c r="M20" s="694">
        <f>((I20*J20%)+(K20*L20%))*100</f>
        <v/>
      </c>
      <c r="N20" s="718" t="n"/>
      <c r="O20" s="718" t="n"/>
      <c r="P20" s="173" t="n"/>
      <c r="Q20" s="171" t="n"/>
      <c r="R20" s="171" t="n"/>
      <c r="S20" s="171" t="n"/>
    </row>
    <row r="21" ht="27.95" customFormat="1" customHeight="1" s="2">
      <c r="A21" s="698" t="n"/>
      <c r="B21" s="699" t="inlineStr">
        <is>
          <t>JUMLAH</t>
        </is>
      </c>
      <c r="C21" s="668" t="n"/>
      <c r="D21" s="668" t="n"/>
      <c r="E21" s="668" t="n"/>
      <c r="F21" s="668" t="n"/>
      <c r="G21" s="668" t="n"/>
      <c r="H21" s="668" t="n"/>
      <c r="I21" s="668" t="n"/>
      <c r="J21" s="668" t="n"/>
      <c r="K21" s="668" t="n"/>
      <c r="L21" s="578" t="n"/>
      <c r="M21" s="700">
        <f>SUM(M15:M20)</f>
        <v/>
      </c>
      <c r="N21" s="722" t="n"/>
      <c r="O21" s="722" t="n"/>
      <c r="P21" s="43" t="n"/>
      <c r="Q21" s="42" t="n"/>
      <c r="R21" s="42" t="n"/>
      <c r="S21" s="43" t="n"/>
    </row>
    <row r="22" ht="13.35" customHeight="1">
      <c r="I22" s="723">
        <f>SUM(I15:I20)</f>
        <v/>
      </c>
      <c r="J22" s="723" t="n"/>
      <c r="K22" s="724" t="n"/>
    </row>
    <row r="23" ht="13.35" customHeight="1"/>
    <row r="24" ht="13.35" customHeight="1">
      <c r="B24" s="128" t="inlineStr">
        <is>
          <t>Disetujui :</t>
        </is>
      </c>
      <c r="C24" s="128" t="n"/>
      <c r="D24" s="128" t="n"/>
      <c r="E24" s="128" t="n"/>
      <c r="F24" s="128" t="n"/>
      <c r="G24" s="128" t="n"/>
      <c r="H24" s="128" t="n"/>
      <c r="I24" s="702">
        <f>'03A-1'!$I$25</f>
        <v/>
      </c>
      <c r="J24" s="103" t="n"/>
      <c r="L24" s="702" t="n"/>
      <c r="M24" s="702" t="n"/>
      <c r="N24" s="702" t="n"/>
      <c r="O24" s="702" t="n"/>
      <c r="P24" s="703" t="n"/>
    </row>
    <row r="25" ht="13.35" customHeight="1">
      <c r="B25" s="128">
        <f>'03A-1'!B26</f>
        <v/>
      </c>
      <c r="C25" s="128" t="n"/>
      <c r="D25" s="128" t="n"/>
      <c r="E25" s="128" t="n"/>
      <c r="F25" s="128" t="n"/>
      <c r="G25" s="128" t="n"/>
      <c r="H25" s="128" t="n"/>
      <c r="I25" s="704">
        <f>'03A-1'!I26</f>
        <v/>
      </c>
      <c r="J25" s="103" t="n"/>
      <c r="L25" s="704" t="n"/>
      <c r="M25" s="704" t="n"/>
      <c r="N25" s="704" t="n"/>
      <c r="O25" s="704" t="n"/>
      <c r="P25" s="705" t="n"/>
    </row>
    <row r="26" ht="13.35" customHeight="1">
      <c r="B26" s="103" t="n"/>
      <c r="C26" s="103" t="n"/>
      <c r="D26" s="103" t="n"/>
      <c r="E26" s="103" t="n"/>
      <c r="F26" s="103" t="n"/>
      <c r="G26" s="103" t="n"/>
      <c r="H26" s="87" t="n"/>
      <c r="I26" s="706" t="n"/>
      <c r="J26" s="103" t="n"/>
      <c r="L26" s="104" t="n"/>
      <c r="M26" s="707" t="n"/>
      <c r="N26" s="707" t="n"/>
      <c r="O26" s="707" t="n"/>
      <c r="P26" s="708" t="n"/>
    </row>
    <row r="27" ht="13.35" customHeight="1">
      <c r="B27" s="157" t="n"/>
      <c r="H27" s="87" t="n"/>
      <c r="I27" s="706" t="n"/>
      <c r="J27" s="103" t="n"/>
      <c r="L27" s="104" t="n"/>
      <c r="M27" s="707" t="n"/>
      <c r="N27" s="707" t="n"/>
      <c r="O27" s="707" t="n"/>
      <c r="P27" s="708" t="n"/>
    </row>
    <row r="28" ht="13.35" customHeight="1">
      <c r="B28" s="157" t="n"/>
      <c r="H28" s="87" t="n"/>
      <c r="I28" s="706" t="n"/>
      <c r="J28" s="103" t="n"/>
      <c r="L28" s="104" t="n"/>
      <c r="M28" s="707" t="n"/>
      <c r="N28" s="707" t="n"/>
      <c r="O28" s="707" t="n"/>
      <c r="P28" s="708" t="n"/>
    </row>
    <row r="29" ht="13.35" customHeight="1">
      <c r="B29" s="157" t="n"/>
      <c r="H29" s="87" t="n"/>
      <c r="I29" s="706" t="n"/>
      <c r="J29" s="103" t="n"/>
      <c r="L29" s="104" t="n"/>
      <c r="M29" s="707" t="n"/>
      <c r="N29" s="707" t="n"/>
      <c r="O29" s="707" t="n"/>
      <c r="P29" s="708" t="n"/>
    </row>
    <row r="30" ht="13.35" customHeight="1">
      <c r="B30" s="157" t="n"/>
      <c r="H30" s="87" t="n"/>
      <c r="I30" s="706" t="n"/>
      <c r="J30" s="103" t="n"/>
      <c r="L30" s="104" t="n"/>
      <c r="M30" s="707" t="n"/>
      <c r="N30" s="707" t="n"/>
      <c r="O30" s="707" t="n"/>
      <c r="P30" s="708" t="n"/>
    </row>
    <row r="31" ht="13.35" customHeight="1">
      <c r="B31" s="157" t="n"/>
      <c r="H31" s="87" t="n"/>
      <c r="I31" s="103" t="n"/>
      <c r="J31" s="103" t="n"/>
      <c r="L31" s="103" t="n"/>
      <c r="M31" s="103" t="n"/>
      <c r="N31" s="103" t="n"/>
      <c r="O31" s="103" t="n"/>
    </row>
    <row r="32" ht="13.35" customHeight="1">
      <c r="B32" s="158">
        <f>'03A-1'!B33</f>
        <v/>
      </c>
      <c r="C32" s="128" t="n"/>
      <c r="D32" s="128" t="n"/>
      <c r="E32" s="128" t="n"/>
      <c r="G32" s="128" t="n"/>
      <c r="H32" s="127" t="n"/>
      <c r="I32" s="704">
        <f>'03A-1'!I33</f>
        <v/>
      </c>
      <c r="J32" s="103" t="n"/>
      <c r="L32" s="704" t="n"/>
      <c r="M32" s="704" t="n"/>
      <c r="N32" s="704" t="n"/>
      <c r="O32" s="704" t="n"/>
      <c r="P32" s="705" t="n"/>
    </row>
    <row r="33" ht="13.35" customHeight="1">
      <c r="B33" s="126">
        <f>'03A-1'!B34</f>
        <v/>
      </c>
      <c r="C33" s="128" t="n"/>
      <c r="D33" s="128" t="n"/>
      <c r="E33" s="128" t="n"/>
      <c r="G33" s="128" t="n"/>
      <c r="H33" s="128" t="n"/>
      <c r="I33" s="704">
        <f>'03A-1'!I34</f>
        <v/>
      </c>
      <c r="J33" s="103" t="n"/>
      <c r="L33" s="704" t="n"/>
      <c r="M33" s="704" t="n"/>
      <c r="N33" s="704" t="n"/>
      <c r="O33" s="704" t="n"/>
      <c r="P33" s="705" t="n"/>
    </row>
  </sheetData>
  <mergeCells count="10">
    <mergeCell ref="M11:M13"/>
    <mergeCell ref="B21:L21"/>
    <mergeCell ref="A2:M2"/>
    <mergeCell ref="K10:M10"/>
    <mergeCell ref="A11:A13"/>
    <mergeCell ref="B11:H13"/>
    <mergeCell ref="I11:I13"/>
    <mergeCell ref="J11:J13"/>
    <mergeCell ref="K11:K13"/>
    <mergeCell ref="L11:L13"/>
  </mergeCells>
  <printOptions horizontalCentered="1"/>
  <pageMargins left="0" right="0" top="0.3543307086614174" bottom="0.7480314960629921" header="0.3149606299212598" footer="0.3149606299212598"/>
  <pageSetup orientation="portrait" paperSize="9" scale="75"/>
  <headerFooter>
    <oddHeader/>
    <oddFooter>&amp;LRPD 03A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theme="8" tint="0.7999816888943144"/>
    <outlinePr summaryBelow="1" summaryRight="1"/>
    <pageSetUpPr/>
  </sheetPr>
  <dimension ref="A1:P31"/>
  <sheetViews>
    <sheetView view="pageBreakPreview" topLeftCell="A4" zoomScale="90" zoomScaleNormal="85" zoomScaleSheetLayoutView="90" workbookViewId="0">
      <selection activeCell="I22" sqref="I22:I31"/>
    </sheetView>
  </sheetViews>
  <sheetFormatPr baseColWidth="8" defaultColWidth="9.14453125" defaultRowHeight="12.75"/>
  <cols>
    <col width="4.9765625" customWidth="1" style="157" min="1" max="1"/>
    <col width="4.3046875" customWidth="1" style="103" min="2" max="2"/>
    <col width="3.8984375" customWidth="1" style="87" min="3" max="3"/>
    <col width="7.6640625" customWidth="1" style="87" min="4" max="4"/>
    <col width="4.16796875" customWidth="1" style="87" min="5" max="5"/>
    <col width="12.5078125" customWidth="1" style="103" min="6" max="6"/>
    <col width="22.1953125" customWidth="1" style="103" min="7" max="7"/>
    <col width="20.17578125" customWidth="1" style="103" min="8" max="8"/>
    <col width="11.703125" bestFit="1" customWidth="1" style="672" min="9" max="9"/>
    <col width="12.10546875" bestFit="1" customWidth="1" style="672" min="10" max="10"/>
    <col width="9.953125" bestFit="1" customWidth="1" style="88" min="11" max="11"/>
    <col width="11.703125" customWidth="1" style="673" min="12" max="12"/>
    <col width="12.10546875" bestFit="1" customWidth="1" style="673" min="13" max="13"/>
    <col width="9.14453125" customWidth="1" style="103" min="14" max="14"/>
    <col width="9.953125" bestFit="1" customWidth="1" style="103" min="15" max="15"/>
    <col width="9.14453125" customWidth="1" style="103" min="16" max="16384"/>
  </cols>
  <sheetData>
    <row r="1" ht="19.5" customHeight="1">
      <c r="A1" s="157" t="n"/>
      <c r="B1" s="103" t="n"/>
      <c r="C1" s="87" t="n"/>
      <c r="D1" s="87" t="n"/>
      <c r="E1" s="87" t="n"/>
      <c r="F1" s="103" t="n"/>
      <c r="G1" s="103" t="n"/>
      <c r="H1" s="103" t="n"/>
      <c r="I1" s="672" t="n"/>
      <c r="J1" s="672" t="n"/>
      <c r="K1" s="88" t="n"/>
      <c r="L1" s="673" t="n"/>
      <c r="M1" s="673" t="n"/>
    </row>
    <row r="2" ht="26.25" customHeight="1">
      <c r="A2" s="499" t="inlineStr">
        <is>
          <t>RINCIAN PRESTASI PEKERJAAN</t>
        </is>
      </c>
    </row>
    <row r="3" ht="18.75" customHeight="1">
      <c r="A3" s="157" t="n"/>
      <c r="B3" s="103" t="n"/>
      <c r="C3" s="87" t="n"/>
      <c r="D3" s="87" t="n"/>
      <c r="E3" s="87" t="n"/>
      <c r="F3" s="103" t="n"/>
      <c r="G3" s="103" t="n"/>
      <c r="H3" s="103" t="n"/>
      <c r="I3" s="672" t="n"/>
      <c r="J3" s="672" t="n"/>
      <c r="K3" s="88" t="n"/>
      <c r="L3" s="673" t="n"/>
      <c r="M3" s="673" t="n"/>
    </row>
    <row r="4" ht="13.9" customHeight="1">
      <c r="A4" s="91" t="inlineStr">
        <is>
          <t xml:space="preserve">Nama Pekerjaan </t>
        </is>
      </c>
      <c r="B4" s="92" t="n"/>
      <c r="C4" s="92" t="n"/>
      <c r="E4" s="93" t="inlineStr">
        <is>
          <t>:</t>
        </is>
      </c>
      <c r="F4" s="182">
        <f>+'RPD03'!E6</f>
        <v/>
      </c>
      <c r="G4" s="91" t="n"/>
      <c r="H4" s="91" t="n"/>
      <c r="I4" s="91" t="n"/>
      <c r="J4" s="91" t="n"/>
      <c r="K4" s="91" t="n"/>
      <c r="L4" s="91" t="n"/>
      <c r="M4" s="91" t="n"/>
    </row>
    <row r="5" ht="18.95" customHeight="1">
      <c r="A5" s="92" t="inlineStr">
        <is>
          <t xml:space="preserve">Periode </t>
        </is>
      </c>
      <c r="B5" s="92" t="n"/>
      <c r="C5" s="92" t="n"/>
      <c r="E5" s="93" t="inlineStr">
        <is>
          <t>:</t>
        </is>
      </c>
      <c r="F5" s="95">
        <f>+'03A-2'!F5</f>
        <v/>
      </c>
      <c r="G5" s="92" t="n"/>
      <c r="H5" s="92" t="n"/>
      <c r="I5" s="674" t="n"/>
      <c r="J5" s="674" t="n"/>
      <c r="K5" s="93" t="n"/>
      <c r="L5" s="675" t="n"/>
      <c r="M5" s="675" t="n"/>
    </row>
    <row r="6" ht="18.95" customHeight="1">
      <c r="A6" s="92" t="inlineStr">
        <is>
          <t>No. Kontrak</t>
        </is>
      </c>
      <c r="B6" s="92" t="n"/>
      <c r="C6" s="92" t="n"/>
      <c r="E6" s="93" t="inlineStr">
        <is>
          <t>:</t>
        </is>
      </c>
      <c r="F6" s="92">
        <f>+'RPD03'!E7</f>
        <v/>
      </c>
      <c r="G6" s="92" t="n"/>
      <c r="H6" s="92" t="n"/>
      <c r="I6" s="674" t="n"/>
      <c r="J6" s="674" t="n"/>
      <c r="K6" s="93" t="n"/>
      <c r="L6" s="675" t="n"/>
      <c r="M6" s="675" t="n"/>
    </row>
    <row r="7" ht="18.95" customHeight="1">
      <c r="A7" s="92" t="inlineStr">
        <is>
          <t>Jangka Waktu</t>
        </is>
      </c>
      <c r="B7" s="92" t="n"/>
      <c r="C7" s="92" t="n"/>
      <c r="E7" s="93" t="inlineStr">
        <is>
          <t>:</t>
        </is>
      </c>
      <c r="F7" s="92">
        <f>+'RPD03'!E8</f>
        <v/>
      </c>
      <c r="G7" s="92" t="n"/>
      <c r="H7" s="92" t="n"/>
      <c r="I7" s="674" t="n"/>
      <c r="J7" s="674" t="n"/>
      <c r="K7" s="93" t="n"/>
      <c r="L7" s="675" t="n"/>
      <c r="M7" s="675" t="n"/>
    </row>
    <row r="8" ht="18.95" customHeight="1">
      <c r="A8" s="92" t="inlineStr">
        <is>
          <t>Jenis Pekerjaan</t>
        </is>
      </c>
      <c r="B8" s="92" t="n"/>
      <c r="C8" s="92" t="n"/>
      <c r="E8" s="93" t="inlineStr">
        <is>
          <t>:</t>
        </is>
      </c>
      <c r="F8" s="675">
        <f>B14</f>
        <v/>
      </c>
      <c r="G8" s="92" t="n"/>
      <c r="H8" s="92" t="n"/>
      <c r="I8" s="674" t="n"/>
      <c r="J8" s="674" t="n"/>
      <c r="K8" s="93" t="n"/>
      <c r="L8" s="675" t="n"/>
      <c r="M8" s="675" t="n"/>
    </row>
    <row r="9" ht="18.95" customHeight="1">
      <c r="A9" s="92" t="inlineStr">
        <is>
          <t>Bobot THD Kontrak</t>
        </is>
      </c>
      <c r="B9" s="92" t="n"/>
      <c r="C9" s="92" t="n"/>
      <c r="E9" s="93" t="inlineStr">
        <is>
          <t>:</t>
        </is>
      </c>
      <c r="F9" s="97">
        <f>'RPD03'!K17</f>
        <v/>
      </c>
      <c r="G9" s="92" t="inlineStr">
        <is>
          <t>%</t>
        </is>
      </c>
      <c r="H9" s="92" t="n"/>
      <c r="I9" s="674" t="n"/>
      <c r="J9" s="674" t="n"/>
      <c r="K9" s="93" t="n"/>
      <c r="L9" s="675" t="n"/>
      <c r="M9" s="675" t="n"/>
    </row>
    <row r="10" ht="16.5" customHeight="1">
      <c r="A10" s="98" t="n"/>
      <c r="B10" s="2" t="n"/>
      <c r="C10" s="98" t="n"/>
      <c r="D10" s="98" t="n"/>
      <c r="E10" s="98" t="n"/>
      <c r="F10" s="2" t="n"/>
      <c r="G10" s="2" t="n"/>
      <c r="H10" s="2" t="n"/>
      <c r="I10" s="677" t="n"/>
      <c r="J10" s="677" t="n"/>
      <c r="K10" s="99" t="n"/>
      <c r="L10" s="99" t="n"/>
      <c r="M10" s="99" t="n"/>
    </row>
    <row r="11" ht="11.25" customFormat="1" customHeight="1" s="6">
      <c r="A11" s="725" t="inlineStr">
        <is>
          <t>No</t>
        </is>
      </c>
      <c r="B11" s="725" t="inlineStr">
        <is>
          <t>PERINCIAN PEKERJAAN</t>
        </is>
      </c>
      <c r="C11" s="569" t="n"/>
      <c r="D11" s="569" t="n"/>
      <c r="E11" s="569" t="n"/>
      <c r="F11" s="569" t="n"/>
      <c r="G11" s="569" t="n"/>
      <c r="H11" s="570" t="n"/>
      <c r="I11" s="679" t="inlineStr">
        <is>
          <t>BOBOT MATERIAL (%)</t>
        </is>
      </c>
      <c r="J11" s="679" t="inlineStr">
        <is>
          <t>PRESTASI MATERIAL (%)</t>
        </is>
      </c>
      <c r="K11" s="679" t="inlineStr">
        <is>
          <t>BOBOT JASA (%)</t>
        </is>
      </c>
      <c r="L11" s="679" t="inlineStr">
        <is>
          <t>PRESTASI JASA (%)</t>
        </is>
      </c>
      <c r="M11" s="679" t="inlineStr">
        <is>
          <t>PRESTASI TOTAL (%)</t>
        </is>
      </c>
    </row>
    <row r="12" ht="7.5" customFormat="1" customHeight="1" s="6">
      <c r="A12" s="574" t="n"/>
      <c r="B12" s="575" t="n"/>
      <c r="H12" s="576" t="n"/>
      <c r="I12" s="574" t="n"/>
      <c r="J12" s="574" t="n"/>
      <c r="K12" s="574" t="n"/>
      <c r="L12" s="574" t="n"/>
      <c r="M12" s="574" t="n"/>
    </row>
    <row r="13" ht="49.5" customFormat="1" customHeight="1" s="6">
      <c r="A13" s="652" t="n"/>
      <c r="B13" s="653" t="n"/>
      <c r="C13" s="654" t="n"/>
      <c r="D13" s="654" t="n"/>
      <c r="E13" s="654" t="n"/>
      <c r="F13" s="654" t="n"/>
      <c r="G13" s="654" t="n"/>
      <c r="H13" s="581" t="n"/>
      <c r="I13" s="652" t="n"/>
      <c r="J13" s="652" t="n"/>
      <c r="K13" s="652" t="n"/>
      <c r="L13" s="652" t="n"/>
      <c r="M13" s="652" t="n"/>
      <c r="O13" s="46" t="n"/>
      <c r="P13" s="46" t="n"/>
    </row>
    <row r="14" ht="16.15" customHeight="1">
      <c r="A14" s="680">
        <f>'Phisical Check'!A26</f>
        <v/>
      </c>
      <c r="B14" s="681">
        <f>'Phisical Check'!B26</f>
        <v/>
      </c>
      <c r="C14" s="682" t="n"/>
      <c r="D14" s="682" t="n"/>
      <c r="E14" s="682" t="n"/>
      <c r="F14" s="682" t="n"/>
      <c r="G14" s="682" t="n"/>
      <c r="H14" s="683" t="n"/>
      <c r="I14" s="684" t="n"/>
      <c r="J14" s="685" t="n"/>
      <c r="K14" s="686" t="n"/>
      <c r="L14" s="687" t="n"/>
      <c r="M14" s="726" t="n"/>
      <c r="N14" s="47" t="n"/>
      <c r="O14" s="46" t="n"/>
      <c r="P14" s="46" t="n"/>
    </row>
    <row r="15" ht="16.15" customFormat="1" customHeight="1" s="2">
      <c r="A15" s="163" t="n"/>
      <c r="B15" s="150">
        <f>'Phisical Check'!B27</f>
        <v/>
      </c>
      <c r="C15" s="187">
        <f>'Phisical Check'!C27</f>
        <v/>
      </c>
      <c r="D15" s="690" t="n"/>
      <c r="E15" s="695" t="n"/>
      <c r="F15" s="695" t="n"/>
      <c r="G15" s="695" t="n"/>
      <c r="H15" s="696" t="n"/>
      <c r="I15" s="692" t="n"/>
      <c r="J15" s="693" t="n"/>
      <c r="K15" s="717" t="n"/>
      <c r="L15" s="727" t="n"/>
      <c r="M15" s="694" t="n"/>
      <c r="N15" s="101" t="n"/>
    </row>
    <row r="16" ht="16.15" customFormat="1" customHeight="1" s="2">
      <c r="A16" s="160" t="n"/>
      <c r="B16" s="188" t="n"/>
      <c r="C16" s="187">
        <f>'Phisical Check'!C28</f>
        <v/>
      </c>
      <c r="D16" s="689">
        <f>'Phisical Check'!D28</f>
        <v/>
      </c>
      <c r="E16" s="695" t="n"/>
      <c r="F16" s="695" t="n"/>
      <c r="G16" s="695" t="n"/>
      <c r="H16" s="696" t="n"/>
      <c r="I16" s="692" t="n"/>
      <c r="J16" s="287" t="n"/>
      <c r="K16" s="717" t="n">
        <v>18.65513537323411</v>
      </c>
      <c r="L16" s="285">
        <f>'Phisical Check'!R28</f>
        <v/>
      </c>
      <c r="M16" s="694">
        <f>((I16*J16%)+(K16*L16%))*100</f>
        <v/>
      </c>
      <c r="N16" s="101" t="n"/>
    </row>
    <row r="17" ht="16.15" customFormat="1" customHeight="1" s="2">
      <c r="A17" s="160" t="n"/>
      <c r="B17" s="188" t="n"/>
      <c r="C17" s="187">
        <f>'Phisical Check'!C29</f>
        <v/>
      </c>
      <c r="D17" s="689">
        <f>'Phisical Check'!D29</f>
        <v/>
      </c>
      <c r="E17" s="695" t="n"/>
      <c r="F17" s="695" t="n"/>
      <c r="G17" s="695" t="n"/>
      <c r="H17" s="696" t="n"/>
      <c r="I17" s="692" t="n"/>
      <c r="J17" s="287" t="n"/>
      <c r="K17" s="717" t="n">
        <v>25.76313985449164</v>
      </c>
      <c r="L17" s="285">
        <f>'Phisical Check'!R29</f>
        <v/>
      </c>
      <c r="M17" s="694">
        <f>((I17*J17%)+(K17*L17%))*100</f>
        <v/>
      </c>
      <c r="N17" s="101" t="n"/>
    </row>
    <row r="18" ht="16.15" customFormat="1" customHeight="1" s="2">
      <c r="A18" s="160" t="n"/>
      <c r="B18" s="162" t="n"/>
      <c r="C18" s="187">
        <f>'Phisical Check'!C30</f>
        <v/>
      </c>
      <c r="D18" s="689">
        <f>'Phisical Check'!D30</f>
        <v/>
      </c>
      <c r="E18" s="695" t="n"/>
      <c r="F18" s="695" t="n"/>
      <c r="G18" s="695" t="n"/>
      <c r="H18" s="696" t="n"/>
      <c r="I18" s="692" t="n"/>
      <c r="J18" s="287" t="n"/>
      <c r="K18" s="717" t="n">
        <v>9.90461964168361</v>
      </c>
      <c r="L18" s="285">
        <f>'Phisical Check'!R30</f>
        <v/>
      </c>
      <c r="M18" s="694">
        <f>((I18*J18%)+(K18*L18%))*100</f>
        <v/>
      </c>
      <c r="N18" s="101" t="n"/>
    </row>
    <row r="19" ht="16.15" customFormat="1" customHeight="1" s="2">
      <c r="A19" s="160" t="n"/>
      <c r="B19" s="188" t="n"/>
      <c r="C19" s="187">
        <f>'Phisical Check'!C31</f>
        <v/>
      </c>
      <c r="D19" s="689">
        <f>'Phisical Check'!D31</f>
        <v/>
      </c>
      <c r="E19" s="695" t="n"/>
      <c r="F19" s="695" t="n"/>
      <c r="G19" s="695" t="n"/>
      <c r="H19" s="696" t="n"/>
      <c r="I19" s="692" t="n"/>
      <c r="J19" s="287" t="n"/>
      <c r="K19" s="717" t="n">
        <v>45.67710513059065</v>
      </c>
      <c r="L19" s="285">
        <f>'Phisical Check'!R31</f>
        <v/>
      </c>
      <c r="M19" s="694">
        <f>((I19*J19%)+(K19*L19%))*100</f>
        <v/>
      </c>
      <c r="N19" s="101" t="n"/>
    </row>
    <row r="20" ht="21.6" customFormat="1" customHeight="1" s="2">
      <c r="A20" s="698" t="n"/>
      <c r="B20" s="699" t="inlineStr">
        <is>
          <t>JUMLAH</t>
        </is>
      </c>
      <c r="C20" s="668" t="n"/>
      <c r="D20" s="668" t="n"/>
      <c r="E20" s="668" t="n"/>
      <c r="F20" s="668" t="n"/>
      <c r="G20" s="668" t="n"/>
      <c r="H20" s="668" t="n"/>
      <c r="I20" s="668" t="n"/>
      <c r="J20" s="668" t="n"/>
      <c r="K20" s="668" t="n"/>
      <c r="L20" s="578" t="n"/>
      <c r="M20" s="700">
        <f>SUM(M15:M19)</f>
        <v/>
      </c>
      <c r="O20" s="31" t="n"/>
      <c r="P20" s="31" t="n"/>
    </row>
    <row r="21" ht="13.35" customHeight="1">
      <c r="I21" s="723">
        <f>SUM(I16:I19)</f>
        <v/>
      </c>
      <c r="K21" s="724">
        <f>SUM(K15:K19)</f>
        <v/>
      </c>
    </row>
    <row r="22" ht="13.35" customHeight="1">
      <c r="B22" s="128" t="inlineStr">
        <is>
          <t>Disetujui :</t>
        </is>
      </c>
      <c r="C22" s="128" t="n"/>
      <c r="D22" s="128" t="n"/>
      <c r="E22" s="128" t="n"/>
      <c r="F22" s="128" t="n"/>
      <c r="G22" s="128" t="n"/>
      <c r="H22" s="128" t="n"/>
      <c r="I22" s="702">
        <f>'03A-2'!$I$24</f>
        <v/>
      </c>
      <c r="J22" s="103" t="n"/>
      <c r="L22" s="702" t="n"/>
      <c r="M22" s="702" t="n"/>
      <c r="N22" s="702" t="n"/>
    </row>
    <row r="23" ht="13.35" customHeight="1">
      <c r="B23" s="128">
        <f>'03A-2'!B25</f>
        <v/>
      </c>
      <c r="C23" s="128" t="n"/>
      <c r="D23" s="128" t="n"/>
      <c r="E23" s="128" t="n"/>
      <c r="F23" s="128" t="n"/>
      <c r="G23" s="128" t="n"/>
      <c r="H23" s="128" t="n"/>
      <c r="I23" s="704">
        <f>'03A-2'!I25</f>
        <v/>
      </c>
      <c r="J23" s="103" t="n"/>
      <c r="L23" s="704" t="n"/>
      <c r="M23" s="704" t="n"/>
      <c r="N23" s="704" t="n"/>
    </row>
    <row r="24" ht="13.35" customHeight="1">
      <c r="B24" s="103" t="n"/>
      <c r="C24" s="103" t="n"/>
      <c r="D24" s="103" t="n"/>
      <c r="E24" s="103" t="n"/>
      <c r="F24" s="103" t="n"/>
      <c r="G24" s="103" t="n"/>
      <c r="H24" s="87" t="n"/>
      <c r="I24" s="706" t="n"/>
      <c r="J24" s="103" t="n"/>
      <c r="L24" s="104" t="n"/>
      <c r="M24" s="707" t="n"/>
      <c r="N24" s="707" t="n"/>
    </row>
    <row r="25" ht="13.35" customHeight="1">
      <c r="B25" s="157" t="n"/>
      <c r="H25" s="87" t="n"/>
      <c r="I25" s="706" t="n"/>
      <c r="J25" s="103" t="n"/>
      <c r="L25" s="104" t="n"/>
      <c r="M25" s="707" t="n"/>
      <c r="N25" s="707" t="n"/>
    </row>
    <row r="26" ht="13.35" customHeight="1">
      <c r="B26" s="157" t="n"/>
      <c r="H26" s="87" t="n"/>
      <c r="I26" s="706" t="n"/>
      <c r="J26" s="103" t="n"/>
      <c r="L26" s="104" t="n"/>
      <c r="M26" s="707" t="n"/>
      <c r="N26" s="707" t="n"/>
    </row>
    <row r="27" ht="13.35" customHeight="1">
      <c r="B27" s="157" t="n"/>
      <c r="H27" s="87" t="n"/>
      <c r="I27" s="706" t="n"/>
      <c r="J27" s="103" t="n"/>
      <c r="L27" s="104" t="n"/>
      <c r="M27" s="707" t="n"/>
      <c r="N27" s="707" t="n"/>
    </row>
    <row r="28" ht="13.35" customHeight="1">
      <c r="B28" s="157" t="n"/>
      <c r="H28" s="87" t="n"/>
      <c r="I28" s="706" t="n"/>
      <c r="J28" s="103" t="n"/>
      <c r="L28" s="104" t="n"/>
      <c r="M28" s="707" t="n"/>
      <c r="N28" s="707" t="n"/>
    </row>
    <row r="29" ht="13.35" customHeight="1">
      <c r="B29" s="157" t="n"/>
      <c r="H29" s="87" t="n"/>
      <c r="I29" s="103" t="n"/>
      <c r="J29" s="103" t="n"/>
      <c r="L29" s="103" t="n"/>
      <c r="M29" s="103" t="n"/>
    </row>
    <row r="30" ht="13.35" customHeight="1">
      <c r="B30" s="158">
        <f>'03A-2'!B32</f>
        <v/>
      </c>
      <c r="C30" s="128" t="n"/>
      <c r="D30" s="128" t="n"/>
      <c r="E30" s="128" t="n"/>
      <c r="G30" s="128" t="n"/>
      <c r="H30" s="127" t="n"/>
      <c r="I30" s="704">
        <f>'03A-2'!I32</f>
        <v/>
      </c>
      <c r="J30" s="103" t="n"/>
      <c r="L30" s="704" t="n"/>
      <c r="M30" s="704" t="n"/>
      <c r="N30" s="704" t="n"/>
    </row>
    <row r="31" ht="13.35" customHeight="1">
      <c r="B31" s="126">
        <f>'03A-2'!B33</f>
        <v/>
      </c>
      <c r="C31" s="128" t="n"/>
      <c r="D31" s="128" t="n"/>
      <c r="E31" s="128" t="n"/>
      <c r="G31" s="128" t="n"/>
      <c r="H31" s="128" t="n"/>
      <c r="I31" s="704">
        <f>'03A-2'!I33</f>
        <v/>
      </c>
      <c r="J31" s="103" t="n"/>
      <c r="L31" s="704" t="n"/>
      <c r="M31" s="704" t="n"/>
      <c r="N31" s="704" t="n"/>
    </row>
  </sheetData>
  <mergeCells count="9">
    <mergeCell ref="L11:L13"/>
    <mergeCell ref="M11:M13"/>
    <mergeCell ref="B20:L20"/>
    <mergeCell ref="A2:M2"/>
    <mergeCell ref="A11:A13"/>
    <mergeCell ref="B11:H13"/>
    <mergeCell ref="I11:I13"/>
    <mergeCell ref="J11:J13"/>
    <mergeCell ref="K11:K13"/>
  </mergeCells>
  <printOptions horizontalCentered="1"/>
  <pageMargins left="0" right="0" top="0.3543307086614174" bottom="0.7480314960629921" header="0.3149606299212598" footer="0.3149606299212598"/>
  <pageSetup orientation="portrait" scale="75"/>
  <headerFooter>
    <oddHeader/>
    <oddFooter>&amp;LRPD 03A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theme="8" tint="0.7999816888943144"/>
    <outlinePr summaryBelow="1" summaryRight="1"/>
    <pageSetUpPr/>
  </sheetPr>
  <dimension ref="A1:P40"/>
  <sheetViews>
    <sheetView view="pageBreakPreview" topLeftCell="A7" zoomScale="90" zoomScaleNormal="90" zoomScaleSheetLayoutView="90" workbookViewId="0">
      <selection activeCell="M16" sqref="M16"/>
    </sheetView>
  </sheetViews>
  <sheetFormatPr baseColWidth="8" defaultColWidth="9.14453125" defaultRowHeight="12.75"/>
  <cols>
    <col width="4.9765625" customWidth="1" style="157" min="1" max="1"/>
    <col width="3.62890625" customWidth="1" style="113" min="2" max="2"/>
    <col width="3.8984375" customWidth="1" style="87" min="3" max="3"/>
    <col width="9.28125" customWidth="1" style="87" min="4" max="4"/>
    <col width="4.16796875" customWidth="1" style="87" min="5" max="5"/>
    <col width="12.5078125" customWidth="1" style="103" min="6" max="6"/>
    <col width="16.8125" customWidth="1" style="103" min="7" max="7"/>
    <col width="10.76171875" customWidth="1" style="103" min="8" max="8"/>
    <col width="13.98828125" customWidth="1" style="672" min="9" max="9"/>
    <col width="14.66015625" customWidth="1" style="672" min="10" max="10"/>
    <col width="9.953125" bestFit="1" customWidth="1" style="88" min="11" max="11"/>
    <col width="13.85546875" customWidth="1" style="673" min="12" max="12"/>
    <col width="14.66015625" customWidth="1" style="673" min="13" max="13"/>
    <col width="9.14453125" customWidth="1" style="103" min="14" max="14"/>
    <col width="9.953125" bestFit="1" customWidth="1" style="103" min="15" max="15"/>
    <col width="9.14453125" customWidth="1" style="103" min="16" max="16384"/>
  </cols>
  <sheetData>
    <row r="1" ht="19.5" customHeight="1">
      <c r="A1" s="157" t="n"/>
      <c r="B1" s="113" t="n"/>
      <c r="C1" s="87" t="n"/>
      <c r="D1" s="87" t="n"/>
      <c r="E1" s="87" t="n"/>
      <c r="F1" s="103" t="n"/>
      <c r="G1" s="103" t="n"/>
      <c r="H1" s="103" t="n"/>
      <c r="I1" s="672" t="n"/>
      <c r="J1" s="672" t="n"/>
      <c r="K1" s="88" t="n"/>
      <c r="L1" s="673" t="n"/>
      <c r="M1" s="673" t="n"/>
    </row>
    <row r="2" ht="26.25" customHeight="1">
      <c r="A2" s="499" t="inlineStr">
        <is>
          <t>RINCIAN PRESTASI PEKERJAAN</t>
        </is>
      </c>
    </row>
    <row r="3" ht="18.75" customHeight="1">
      <c r="A3" s="157" t="n"/>
      <c r="B3" s="113" t="n"/>
      <c r="C3" s="87" t="n"/>
      <c r="D3" s="87" t="n"/>
      <c r="E3" s="87" t="n"/>
      <c r="F3" s="103" t="n"/>
      <c r="G3" s="103" t="n"/>
      <c r="H3" s="103" t="n"/>
      <c r="I3" s="672" t="n"/>
      <c r="J3" s="672" t="n"/>
      <c r="K3" s="88" t="n"/>
      <c r="L3" s="673" t="n"/>
      <c r="M3" s="673" t="n"/>
    </row>
    <row r="4" ht="18" customHeight="1">
      <c r="A4" s="91" t="inlineStr">
        <is>
          <t xml:space="preserve">Nama Pekerjaan </t>
        </is>
      </c>
      <c r="B4" s="110" t="n"/>
      <c r="C4" s="92" t="n"/>
      <c r="E4" s="117" t="inlineStr">
        <is>
          <t>:</t>
        </is>
      </c>
      <c r="F4" s="182">
        <f>+'RPD03'!E6</f>
        <v/>
      </c>
      <c r="G4" s="91" t="n"/>
      <c r="H4" s="91" t="n"/>
      <c r="I4" s="91" t="n"/>
      <c r="J4" s="91" t="n"/>
      <c r="K4" s="91" t="n"/>
      <c r="L4" s="91" t="n"/>
      <c r="M4" s="91" t="n"/>
    </row>
    <row r="5" ht="18.95" customHeight="1">
      <c r="A5" s="92" t="inlineStr">
        <is>
          <t xml:space="preserve">Periode </t>
        </is>
      </c>
      <c r="B5" s="110" t="n"/>
      <c r="C5" s="92" t="n"/>
      <c r="E5" s="93" t="inlineStr">
        <is>
          <t>:</t>
        </is>
      </c>
      <c r="F5" s="95">
        <f>+'03A-3'!F5</f>
        <v/>
      </c>
      <c r="G5" s="92" t="n"/>
      <c r="H5" s="92" t="n"/>
      <c r="I5" s="674" t="n"/>
      <c r="J5" s="674" t="n"/>
      <c r="K5" s="93" t="n"/>
      <c r="L5" s="675" t="n"/>
      <c r="M5" s="675" t="n"/>
    </row>
    <row r="6" ht="18.95" customHeight="1">
      <c r="A6" s="92" t="inlineStr">
        <is>
          <t>No. Kontrak</t>
        </is>
      </c>
      <c r="B6" s="110" t="n"/>
      <c r="C6" s="92" t="n"/>
      <c r="E6" s="93" t="inlineStr">
        <is>
          <t>:</t>
        </is>
      </c>
      <c r="F6" s="92">
        <f>+'RPD03'!E7</f>
        <v/>
      </c>
      <c r="G6" s="92" t="n"/>
      <c r="H6" s="92" t="n"/>
      <c r="I6" s="674" t="n"/>
      <c r="J6" s="674" t="n"/>
      <c r="K6" s="93" t="n"/>
      <c r="L6" s="675" t="n"/>
      <c r="M6" s="675" t="n"/>
    </row>
    <row r="7" ht="18.95" customHeight="1">
      <c r="A7" s="92" t="inlineStr">
        <is>
          <t>Jangka Waktu</t>
        </is>
      </c>
      <c r="B7" s="110" t="n"/>
      <c r="C7" s="92" t="n"/>
      <c r="E7" s="93" t="inlineStr">
        <is>
          <t>:</t>
        </is>
      </c>
      <c r="F7" s="92">
        <f>+'RPD03'!E8</f>
        <v/>
      </c>
      <c r="G7" s="92" t="n"/>
      <c r="H7" s="92" t="inlineStr">
        <is>
          <t xml:space="preserve"> </t>
        </is>
      </c>
      <c r="I7" s="674" t="n"/>
      <c r="J7" s="674" t="n"/>
      <c r="K7" s="93" t="n"/>
      <c r="L7" s="675" t="n"/>
      <c r="M7" s="675" t="n"/>
    </row>
    <row r="8" ht="18.95" customHeight="1">
      <c r="A8" s="92" t="inlineStr">
        <is>
          <t>Jenis Pekerjaan</t>
        </is>
      </c>
      <c r="B8" s="110" t="n"/>
      <c r="C8" s="92" t="n"/>
      <c r="E8" s="93" t="inlineStr">
        <is>
          <t>:</t>
        </is>
      </c>
      <c r="F8" s="675">
        <f>B14</f>
        <v/>
      </c>
      <c r="G8" s="92" t="n"/>
      <c r="H8" s="92" t="n"/>
      <c r="I8" s="674" t="n"/>
      <c r="J8" s="674" t="n"/>
      <c r="K8" s="93" t="n"/>
      <c r="L8" s="675" t="n"/>
      <c r="M8" s="675" t="n"/>
    </row>
    <row r="9" ht="18.95" customHeight="1">
      <c r="A9" s="92" t="inlineStr">
        <is>
          <t>Bobot THD Kontrak</t>
        </is>
      </c>
      <c r="B9" s="110" t="n"/>
      <c r="C9" s="92" t="n"/>
      <c r="E9" s="93" t="inlineStr">
        <is>
          <t>:</t>
        </is>
      </c>
      <c r="F9" s="728">
        <f>'RPD03'!K19</f>
        <v/>
      </c>
      <c r="G9" s="92" t="inlineStr">
        <is>
          <t>%</t>
        </is>
      </c>
      <c r="H9" s="92" t="n"/>
      <c r="I9" s="674" t="n"/>
      <c r="J9" s="674" t="n"/>
      <c r="K9" s="93" t="n"/>
      <c r="L9" s="675" t="n"/>
      <c r="M9" s="675" t="n"/>
    </row>
    <row r="10" ht="16.5" customHeight="1">
      <c r="A10" s="98" t="n"/>
      <c r="B10" s="112" t="n"/>
      <c r="C10" s="98" t="n"/>
      <c r="D10" s="98" t="n"/>
      <c r="E10" s="98" t="n"/>
      <c r="F10" s="2" t="n"/>
      <c r="G10" s="2" t="n"/>
      <c r="H10" s="2" t="n"/>
      <c r="I10" s="677" t="n"/>
      <c r="J10" s="677" t="n"/>
      <c r="K10" s="515" t="n"/>
      <c r="L10" s="654" t="n"/>
      <c r="M10" s="654" t="n"/>
    </row>
    <row r="11" ht="11.25" customFormat="1" customHeight="1" s="6">
      <c r="A11" s="678" t="inlineStr">
        <is>
          <t>No</t>
        </is>
      </c>
      <c r="B11" s="678" t="inlineStr">
        <is>
          <t>PERINCIAN PEKERJAAN</t>
        </is>
      </c>
      <c r="C11" s="569" t="n"/>
      <c r="D11" s="569" t="n"/>
      <c r="E11" s="569" t="n"/>
      <c r="F11" s="569" t="n"/>
      <c r="G11" s="569" t="n"/>
      <c r="H11" s="570" t="n"/>
      <c r="I11" s="679" t="inlineStr">
        <is>
          <t>BOBOT MATERIAL (%)</t>
        </is>
      </c>
      <c r="J11" s="679" t="inlineStr">
        <is>
          <t>PRESTASI MATERIAL (%)</t>
        </is>
      </c>
      <c r="K11" s="679" t="inlineStr">
        <is>
          <t>BOBOT JASA (%)</t>
        </is>
      </c>
      <c r="L11" s="679" t="inlineStr">
        <is>
          <t>PRESTASI JASA (%)</t>
        </is>
      </c>
      <c r="M11" s="679" t="inlineStr">
        <is>
          <t>PRESTASI TOTAL (%)</t>
        </is>
      </c>
    </row>
    <row r="12" ht="7.5" customFormat="1" customHeight="1" s="6">
      <c r="A12" s="574" t="n"/>
      <c r="B12" s="575" t="n"/>
      <c r="H12" s="576" t="n"/>
      <c r="I12" s="574" t="n"/>
      <c r="J12" s="574" t="n"/>
      <c r="K12" s="574" t="n"/>
      <c r="L12" s="574" t="n"/>
      <c r="M12" s="574" t="n"/>
    </row>
    <row r="13" ht="49.5" customFormat="1" customHeight="1" s="6">
      <c r="A13" s="652" t="n"/>
      <c r="B13" s="653" t="n"/>
      <c r="C13" s="654" t="n"/>
      <c r="D13" s="654" t="n"/>
      <c r="E13" s="654" t="n"/>
      <c r="F13" s="654" t="n"/>
      <c r="G13" s="654" t="n"/>
      <c r="H13" s="581" t="n"/>
      <c r="I13" s="652" t="n"/>
      <c r="J13" s="652" t="n"/>
      <c r="K13" s="652" t="n"/>
      <c r="L13" s="652" t="n"/>
      <c r="M13" s="652" t="n"/>
    </row>
    <row r="14" ht="21.95" customHeight="1">
      <c r="A14" s="680">
        <f>'Phisical Check'!A33</f>
        <v/>
      </c>
      <c r="B14" s="681">
        <f>'Phisical Check'!B33</f>
        <v/>
      </c>
      <c r="C14" s="682" t="n"/>
      <c r="D14" s="682" t="n"/>
      <c r="E14" s="682" t="n"/>
      <c r="F14" s="682" t="n"/>
      <c r="G14" s="682" t="n"/>
      <c r="H14" s="683" t="n"/>
      <c r="I14" s="684" t="n"/>
      <c r="J14" s="685" t="n"/>
      <c r="K14" s="686" t="n"/>
      <c r="L14" s="687" t="n"/>
      <c r="M14" s="726" t="n"/>
      <c r="O14" s="6" t="n"/>
      <c r="P14" s="6" t="n"/>
    </row>
    <row r="15" ht="18" customFormat="1" customHeight="1" s="155">
      <c r="A15" s="161" t="n"/>
      <c r="B15" s="151">
        <f>'Phisical Check'!B34</f>
        <v/>
      </c>
      <c r="C15" s="729">
        <f>'Phisical Check'!C34</f>
        <v/>
      </c>
      <c r="D15" s="690" t="n"/>
      <c r="E15" s="719" t="n"/>
      <c r="F15" s="719" t="n"/>
      <c r="G15" s="719" t="n"/>
      <c r="H15" s="720" t="n"/>
      <c r="I15" s="692" t="n"/>
      <c r="J15" s="693" t="n"/>
      <c r="K15" s="717" t="n"/>
      <c r="L15" s="727" t="n"/>
      <c r="M15" s="694" t="n"/>
    </row>
    <row r="16" ht="18" customFormat="1" customHeight="1" s="155">
      <c r="A16" s="160" t="n"/>
      <c r="B16" s="151" t="n"/>
      <c r="C16" s="729">
        <f>'Phisical Check'!C35</f>
        <v/>
      </c>
      <c r="D16" s="689">
        <f>'Phisical Check'!D35</f>
        <v/>
      </c>
      <c r="E16" s="719" t="n"/>
      <c r="F16" s="719" t="n"/>
      <c r="G16" s="719" t="n"/>
      <c r="H16" s="720" t="n"/>
      <c r="I16" s="692" t="n">
        <v>18.00315948874476</v>
      </c>
      <c r="J16" s="693">
        <f>'Phisical Check'!Q35</f>
        <v/>
      </c>
      <c r="K16" s="717" t="n"/>
      <c r="L16" s="727" t="n"/>
      <c r="M16" s="694">
        <f>((I16*J16%)+(K16*L16%))*100</f>
        <v/>
      </c>
    </row>
    <row r="17" ht="18" customFormat="1" customHeight="1" s="155">
      <c r="A17" s="163" t="n"/>
      <c r="B17" s="151" t="n"/>
      <c r="C17" s="729">
        <f>'Phisical Check'!C36</f>
        <v/>
      </c>
      <c r="D17" s="729">
        <f>'Phisical Check'!D36</f>
        <v/>
      </c>
      <c r="E17" s="719" t="n"/>
      <c r="F17" s="719" t="n"/>
      <c r="G17" s="719" t="n"/>
      <c r="H17" s="720" t="n"/>
      <c r="I17" s="692" t="n">
        <v>62.68428550468789</v>
      </c>
      <c r="J17" s="693">
        <f>'Phisical Check'!Q36</f>
        <v/>
      </c>
      <c r="K17" s="717" t="n"/>
      <c r="L17" s="284" t="n"/>
      <c r="M17" s="694">
        <f>((I17*J17%)+(K17*L17%))*100</f>
        <v/>
      </c>
    </row>
    <row r="18" ht="18" customFormat="1" customHeight="1" s="155">
      <c r="A18" s="163" t="n"/>
      <c r="B18" s="151">
        <f>'Phisical Check'!B37</f>
        <v/>
      </c>
      <c r="C18" s="729">
        <f>'Phisical Check'!C37</f>
        <v/>
      </c>
      <c r="D18" s="690" t="n"/>
      <c r="E18" s="719" t="n"/>
      <c r="F18" s="719" t="n"/>
      <c r="G18" s="719" t="n"/>
      <c r="H18" s="720" t="n"/>
      <c r="I18" s="692" t="n"/>
      <c r="J18" s="287" t="n"/>
      <c r="K18" s="717" t="n"/>
      <c r="L18" s="284" t="n"/>
      <c r="M18" s="694" t="n"/>
    </row>
    <row r="19" ht="18" customFormat="1" customHeight="1" s="155">
      <c r="A19" s="163" t="n"/>
      <c r="B19" s="151" t="n"/>
      <c r="C19" s="729">
        <f>'Phisical Check'!C38</f>
        <v/>
      </c>
      <c r="D19" s="729">
        <f>'Phisical Check'!D38</f>
        <v/>
      </c>
      <c r="E19" s="719" t="n"/>
      <c r="F19" s="719" t="n"/>
      <c r="G19" s="719" t="n"/>
      <c r="H19" s="720" t="n"/>
      <c r="I19" s="692" t="n"/>
      <c r="J19" s="287" t="n"/>
      <c r="K19" s="717" t="n"/>
      <c r="L19" s="284" t="n"/>
      <c r="M19" s="694" t="n"/>
    </row>
    <row r="20" ht="18" customFormat="1" customHeight="1" s="155">
      <c r="A20" s="163" t="n"/>
      <c r="B20" s="151" t="n"/>
      <c r="C20" s="729" t="n"/>
      <c r="D20" s="729">
        <f>'Phisical Check'!D39</f>
        <v/>
      </c>
      <c r="E20" s="729">
        <f>'Phisical Check'!E39</f>
        <v/>
      </c>
      <c r="F20" s="719" t="n"/>
      <c r="G20" s="719" t="n"/>
      <c r="H20" s="720" t="n"/>
      <c r="I20" s="692" t="n"/>
      <c r="J20" s="287" t="n"/>
      <c r="K20" s="717" t="n">
        <v>2.604139765707262</v>
      </c>
      <c r="L20" s="285">
        <f>'Phisical Check'!R39</f>
        <v/>
      </c>
      <c r="M20" s="694">
        <f>((I20*J20%)+(K20*L20%))*100</f>
        <v/>
      </c>
    </row>
    <row r="21" ht="18" customFormat="1" customHeight="1" s="155">
      <c r="A21" s="163" t="n"/>
      <c r="B21" s="151" t="n"/>
      <c r="C21" s="729">
        <f>'Phisical Check'!C40</f>
        <v/>
      </c>
      <c r="D21" s="729">
        <f>'Phisical Check'!D40</f>
        <v/>
      </c>
      <c r="E21" s="719" t="n"/>
      <c r="F21" s="719" t="n"/>
      <c r="G21" s="719" t="n"/>
      <c r="H21" s="720" t="n"/>
      <c r="I21" s="692" t="n"/>
      <c r="J21" s="287" t="n"/>
      <c r="K21" s="717" t="n"/>
      <c r="L21" s="285" t="n"/>
      <c r="M21" s="694" t="n"/>
    </row>
    <row r="22" ht="18" customFormat="1" customHeight="1" s="155">
      <c r="A22" s="163" t="n"/>
      <c r="B22" s="151" t="n"/>
      <c r="C22" s="729" t="n"/>
      <c r="D22" s="729">
        <f>'Phisical Check'!D41</f>
        <v/>
      </c>
      <c r="E22" s="729">
        <f>'Phisical Check'!E41</f>
        <v/>
      </c>
      <c r="F22" s="719" t="n"/>
      <c r="G22" s="719" t="n"/>
      <c r="H22" s="720" t="n"/>
      <c r="I22" s="692" t="n"/>
      <c r="J22" s="287" t="n"/>
      <c r="K22" s="717" t="n">
        <v>8.56173298184004</v>
      </c>
      <c r="L22" s="285">
        <f>'Phisical Check'!R41</f>
        <v/>
      </c>
      <c r="M22" s="694">
        <f>((I22*J22%)+(K22*L22%))*100</f>
        <v/>
      </c>
    </row>
    <row r="23" ht="18" customFormat="1" customHeight="1" s="155">
      <c r="A23" s="163" t="n"/>
      <c r="B23" s="151" t="n"/>
      <c r="C23" s="729">
        <f>'Phisical Check'!C42</f>
        <v/>
      </c>
      <c r="D23" s="729">
        <f>'Phisical Check'!D42</f>
        <v/>
      </c>
      <c r="E23" s="719" t="n"/>
      <c r="F23" s="719" t="n"/>
      <c r="G23" s="719" t="n"/>
      <c r="H23" s="720" t="n"/>
      <c r="I23" s="692" t="n"/>
      <c r="J23" s="287" t="n"/>
      <c r="K23" s="717" t="n"/>
      <c r="L23" s="285" t="n"/>
      <c r="M23" s="694" t="n"/>
    </row>
    <row r="24" ht="18" customFormat="1" customHeight="1" s="155">
      <c r="A24" s="163" t="n"/>
      <c r="B24" s="151" t="n"/>
      <c r="C24" s="729" t="n"/>
      <c r="D24" s="729">
        <f>'Phisical Check'!D43</f>
        <v/>
      </c>
      <c r="E24" s="729">
        <f>'Phisical Check'!E43</f>
        <v/>
      </c>
      <c r="F24" s="719" t="n"/>
      <c r="G24" s="719" t="n"/>
      <c r="H24" s="720" t="n"/>
      <c r="I24" s="692" t="n"/>
      <c r="J24" s="287" t="n"/>
      <c r="K24" s="717" t="n">
        <v>3.759532328171161</v>
      </c>
      <c r="L24" s="285">
        <f>'Phisical Check'!R43</f>
        <v/>
      </c>
      <c r="M24" s="694">
        <f>((I24*J24%)+(K24*L24%))*100</f>
        <v/>
      </c>
    </row>
    <row r="25" ht="18" customFormat="1" customHeight="1" s="155">
      <c r="A25" s="163" t="n"/>
      <c r="B25" s="151" t="n"/>
      <c r="C25" s="729">
        <f>'Phisical Check'!C44</f>
        <v/>
      </c>
      <c r="D25" s="729">
        <f>'Phisical Check'!D44</f>
        <v/>
      </c>
      <c r="E25" s="719" t="n"/>
      <c r="F25" s="719" t="n"/>
      <c r="G25" s="719" t="n"/>
      <c r="H25" s="720" t="n"/>
      <c r="I25" s="692" t="n"/>
      <c r="J25" s="287" t="n"/>
      <c r="K25" s="717" t="n"/>
      <c r="L25" s="285" t="n"/>
      <c r="M25" s="694" t="n"/>
    </row>
    <row r="26" ht="18" customFormat="1" customHeight="1" s="155">
      <c r="A26" s="163" t="n"/>
      <c r="B26" s="151" t="n"/>
      <c r="C26" s="729" t="n"/>
      <c r="D26" s="729">
        <f>'Phisical Check'!D45</f>
        <v/>
      </c>
      <c r="E26" s="729">
        <f>'Phisical Check'!E45</f>
        <v/>
      </c>
      <c r="F26" s="719" t="n"/>
      <c r="G26" s="719" t="n"/>
      <c r="H26" s="720" t="n"/>
      <c r="I26" s="692" t="n"/>
      <c r="J26" s="287" t="n"/>
      <c r="K26" s="717" t="n">
        <v>4.387149930848887</v>
      </c>
      <c r="L26" s="285">
        <f>'Phisical Check'!R45</f>
        <v/>
      </c>
      <c r="M26" s="694">
        <f>((I26*J26%)+(K26*L26%))*100</f>
        <v/>
      </c>
    </row>
    <row r="27" ht="18" customFormat="1" customHeight="1" s="155">
      <c r="A27" s="161" t="n"/>
      <c r="B27" s="151" t="n"/>
      <c r="C27" s="729" t="n"/>
      <c r="D27" s="729" t="n"/>
      <c r="E27" s="719" t="n"/>
      <c r="F27" s="719" t="n"/>
      <c r="G27" s="719" t="n"/>
      <c r="H27" s="720" t="n"/>
      <c r="I27" s="692" t="n"/>
      <c r="J27" s="287" t="n"/>
      <c r="K27" s="717" t="n"/>
      <c r="L27" s="284" t="n"/>
      <c r="M27" s="694" t="n"/>
    </row>
    <row r="28" ht="27.95" customFormat="1" customHeight="1" s="2">
      <c r="A28" s="698" t="n"/>
      <c r="B28" s="699" t="inlineStr">
        <is>
          <t>JUMLAH</t>
        </is>
      </c>
      <c r="C28" s="668" t="n"/>
      <c r="D28" s="668" t="n"/>
      <c r="E28" s="668" t="n"/>
      <c r="F28" s="668" t="n"/>
      <c r="G28" s="668" t="n"/>
      <c r="H28" s="668" t="n"/>
      <c r="I28" s="668" t="n"/>
      <c r="J28" s="668" t="n"/>
      <c r="K28" s="668" t="n"/>
      <c r="L28" s="578" t="n"/>
      <c r="M28" s="700">
        <f>SUM(M15:M27)</f>
        <v/>
      </c>
      <c r="O28" s="31" t="n"/>
      <c r="P28" s="31" t="n"/>
    </row>
    <row r="29" ht="13.35" customHeight="1">
      <c r="I29" s="723" t="n"/>
      <c r="J29" s="723" t="n"/>
      <c r="K29" s="724" t="n"/>
    </row>
    <row r="30" ht="13.35" customHeight="1"/>
    <row r="31" ht="13.35" customHeight="1">
      <c r="B31" s="128" t="inlineStr">
        <is>
          <t>Disetujui :</t>
        </is>
      </c>
      <c r="C31" s="128" t="n"/>
      <c r="D31" s="128" t="n"/>
      <c r="E31" s="128" t="n"/>
      <c r="F31" s="128" t="n"/>
      <c r="G31" s="128" t="n"/>
      <c r="H31" s="128" t="n"/>
      <c r="I31" s="128" t="n"/>
      <c r="J31" s="702">
        <f>'03A-3'!$I$22</f>
        <v/>
      </c>
      <c r="K31" s="103" t="n"/>
      <c r="L31" s="702" t="n"/>
      <c r="M31" s="702" t="n"/>
      <c r="N31" s="702" t="n"/>
    </row>
    <row r="32" ht="13.35" customHeight="1">
      <c r="B32" s="128">
        <f>'03A-3'!B23</f>
        <v/>
      </c>
      <c r="C32" s="128" t="n"/>
      <c r="D32" s="128" t="n"/>
      <c r="E32" s="128" t="n"/>
      <c r="F32" s="128" t="n"/>
      <c r="G32" s="128" t="n"/>
      <c r="H32" s="128" t="n"/>
      <c r="I32" s="103" t="n"/>
      <c r="J32" s="704">
        <f>'03A-3'!I23</f>
        <v/>
      </c>
      <c r="K32" s="103" t="n"/>
      <c r="L32" s="704" t="n"/>
      <c r="M32" s="704" t="n"/>
      <c r="N32" s="704" t="n"/>
    </row>
    <row r="33" ht="13.35" customHeight="1">
      <c r="B33" s="103" t="n"/>
      <c r="C33" s="103" t="n"/>
      <c r="D33" s="103" t="n"/>
      <c r="E33" s="103" t="n"/>
      <c r="F33" s="103" t="n"/>
      <c r="G33" s="103" t="n"/>
      <c r="H33" s="87" t="n"/>
      <c r="I33" s="103" t="n"/>
      <c r="J33" s="706" t="n"/>
      <c r="K33" s="103" t="n"/>
      <c r="L33" s="104" t="n"/>
      <c r="M33" s="707" t="n"/>
      <c r="N33" s="707" t="n"/>
    </row>
    <row r="34" ht="19.15" customHeight="1">
      <c r="B34" s="157" t="n"/>
      <c r="H34" s="87" t="n"/>
      <c r="I34" s="103" t="n"/>
      <c r="J34" s="706" t="n"/>
      <c r="K34" s="103" t="n"/>
      <c r="L34" s="104" t="n"/>
      <c r="M34" s="707" t="n"/>
      <c r="N34" s="707" t="n"/>
    </row>
    <row r="35" ht="13.35" customHeight="1">
      <c r="B35" s="157" t="n"/>
      <c r="H35" s="87" t="n"/>
      <c r="I35" s="103" t="n"/>
      <c r="J35" s="706" t="n"/>
      <c r="K35" s="103" t="n"/>
      <c r="L35" s="104" t="n"/>
      <c r="M35" s="707" t="n"/>
      <c r="N35" s="707" t="n"/>
    </row>
    <row r="36" ht="13.35" customHeight="1">
      <c r="B36" s="157" t="n"/>
      <c r="H36" s="87" t="n"/>
      <c r="I36" s="103" t="n"/>
      <c r="J36" s="706" t="n"/>
      <c r="K36" s="103" t="n"/>
      <c r="L36" s="104" t="n"/>
      <c r="M36" s="707" t="n"/>
      <c r="N36" s="707" t="n"/>
    </row>
    <row r="37" ht="13.35" customHeight="1">
      <c r="B37" s="157" t="n"/>
      <c r="H37" s="87" t="n"/>
      <c r="I37" s="103" t="n"/>
      <c r="J37" s="706" t="n"/>
      <c r="K37" s="103" t="n"/>
      <c r="L37" s="104" t="n"/>
      <c r="M37" s="707" t="n"/>
      <c r="N37" s="707" t="n"/>
    </row>
    <row r="38" ht="13.35" customHeight="1">
      <c r="B38" s="157" t="n"/>
      <c r="H38" s="87" t="n"/>
      <c r="I38" s="103" t="n"/>
      <c r="J38" s="103" t="n"/>
      <c r="K38" s="103" t="n"/>
      <c r="L38" s="103" t="n"/>
      <c r="M38" s="103" t="n"/>
    </row>
    <row r="39" ht="13.35" customHeight="1">
      <c r="B39" s="158">
        <f>'03A-3'!B30</f>
        <v/>
      </c>
      <c r="C39" s="128" t="n"/>
      <c r="D39" s="128" t="n"/>
      <c r="E39" s="128" t="n"/>
      <c r="G39" s="128" t="n"/>
      <c r="H39" s="127" t="n"/>
      <c r="I39" s="103" t="n"/>
      <c r="J39" s="704">
        <f>'03A-3'!I30</f>
        <v/>
      </c>
      <c r="K39" s="103" t="n"/>
      <c r="L39" s="704" t="n"/>
      <c r="M39" s="704" t="n"/>
      <c r="N39" s="704" t="n"/>
    </row>
    <row r="40" ht="13.35" customHeight="1">
      <c r="B40" s="126">
        <f>'03A-3'!B31</f>
        <v/>
      </c>
      <c r="C40" s="128" t="n"/>
      <c r="D40" s="128" t="n"/>
      <c r="E40" s="128" t="n"/>
      <c r="G40" s="128" t="n"/>
      <c r="H40" s="128" t="n"/>
      <c r="J40" s="704">
        <f>'03A-3'!I31</f>
        <v/>
      </c>
      <c r="K40" s="103" t="n"/>
      <c r="L40" s="704" t="n"/>
      <c r="M40" s="704" t="n"/>
      <c r="N40" s="704" t="n"/>
    </row>
  </sheetData>
  <mergeCells count="10">
    <mergeCell ref="B28:L28"/>
    <mergeCell ref="A2:M2"/>
    <mergeCell ref="K10:M10"/>
    <mergeCell ref="A11:A13"/>
    <mergeCell ref="B11:H13"/>
    <mergeCell ref="I11:I13"/>
    <mergeCell ref="J11:J13"/>
    <mergeCell ref="K11:K13"/>
    <mergeCell ref="L11:L13"/>
    <mergeCell ref="M11:M13"/>
  </mergeCells>
  <printOptions horizontalCentered="1"/>
  <pageMargins left="0" right="0" top="0.3543307086614174" bottom="0.7480314960629921" header="0.3149606299212598" footer="0.3149606299212598"/>
  <pageSetup orientation="portrait" paperSize="9" scale="75"/>
  <headerFooter>
    <oddHeader/>
    <oddFooter>&amp;LRPD 03A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theme="8" tint="0.7999816888943144"/>
    <outlinePr summaryBelow="1" summaryRight="1"/>
    <pageSetUpPr/>
  </sheetPr>
  <dimension ref="A1:P29"/>
  <sheetViews>
    <sheetView view="pageBreakPreview" topLeftCell="A7" zoomScale="90" zoomScaleNormal="100" zoomScaleSheetLayoutView="90" workbookViewId="0">
      <selection activeCell="J20" sqref="J20:J29"/>
    </sheetView>
  </sheetViews>
  <sheetFormatPr baseColWidth="8" defaultColWidth="9.14453125" defaultRowHeight="12.75"/>
  <cols>
    <col width="4.9765625" customWidth="1" style="157" min="1" max="1"/>
    <col width="3.62890625" customWidth="1" style="113" min="2" max="2"/>
    <col width="3.8984375" customWidth="1" style="87" min="3" max="3"/>
    <col width="9.28125" customWidth="1" style="87" min="4" max="4"/>
    <col width="4.16796875" customWidth="1" style="87" min="5" max="5"/>
    <col width="12.5078125" customWidth="1" style="103" min="6" max="6"/>
    <col width="16.8125" customWidth="1" style="103" min="7" max="7"/>
    <col width="10.76171875" customWidth="1" style="103" min="8" max="8"/>
    <col width="13.98828125" customWidth="1" style="672" min="9" max="9"/>
    <col width="14.66015625" customWidth="1" style="672" min="10" max="10"/>
    <col width="9.953125" bestFit="1" customWidth="1" style="88" min="11" max="11"/>
    <col width="13.85546875" customWidth="1" style="673" min="12" max="12"/>
    <col width="14.66015625" customWidth="1" style="673" min="13" max="13"/>
    <col width="9.14453125" customWidth="1" style="103" min="14" max="14"/>
    <col width="9.953125" bestFit="1" customWidth="1" style="103" min="15" max="15"/>
    <col width="9.14453125" customWidth="1" style="103" min="16" max="16384"/>
  </cols>
  <sheetData>
    <row r="1" ht="19.5" customHeight="1">
      <c r="A1" s="157" t="n"/>
      <c r="B1" s="113" t="n"/>
      <c r="C1" s="87" t="n"/>
      <c r="D1" s="87" t="n"/>
      <c r="E1" s="87" t="n"/>
      <c r="F1" s="103" t="n"/>
      <c r="G1" s="103" t="n"/>
      <c r="H1" s="103" t="n"/>
      <c r="I1" s="672" t="n"/>
      <c r="J1" s="672" t="n"/>
      <c r="K1" s="88" t="n"/>
      <c r="L1" s="673" t="n"/>
      <c r="M1" s="673" t="n"/>
    </row>
    <row r="2" ht="26.25" customHeight="1">
      <c r="A2" s="499" t="inlineStr">
        <is>
          <t>RINCIAN PRESTASI PEKERJAAN</t>
        </is>
      </c>
    </row>
    <row r="3" ht="18.75" customHeight="1">
      <c r="A3" s="157" t="n"/>
      <c r="B3" s="113" t="n"/>
      <c r="C3" s="87" t="n"/>
      <c r="D3" s="87" t="n"/>
      <c r="E3" s="87" t="n"/>
      <c r="F3" s="103" t="n"/>
      <c r="G3" s="103" t="n"/>
      <c r="H3" s="103" t="n"/>
      <c r="I3" s="672" t="n"/>
      <c r="J3" s="672" t="n"/>
      <c r="K3" s="88" t="n"/>
      <c r="L3" s="673" t="n"/>
      <c r="M3" s="673" t="n"/>
    </row>
    <row r="4" ht="17.45" customHeight="1">
      <c r="A4" s="91" t="inlineStr">
        <is>
          <t xml:space="preserve">Nama Pekerjaan </t>
        </is>
      </c>
      <c r="B4" s="110" t="n"/>
      <c r="C4" s="92" t="n"/>
      <c r="E4" s="117" t="inlineStr">
        <is>
          <t>:</t>
        </is>
      </c>
      <c r="F4" s="182">
        <f>+'RPD03'!E6</f>
        <v/>
      </c>
      <c r="G4" s="91" t="n"/>
      <c r="H4" s="91" t="n"/>
      <c r="I4" s="91" t="n"/>
      <c r="J4" s="91" t="n"/>
      <c r="K4" s="91" t="n"/>
      <c r="L4" s="91" t="n"/>
      <c r="M4" s="91" t="n"/>
    </row>
    <row r="5" ht="18.95" customHeight="1">
      <c r="A5" s="92" t="inlineStr">
        <is>
          <t xml:space="preserve">Periode </t>
        </is>
      </c>
      <c r="B5" s="110" t="n"/>
      <c r="C5" s="92" t="n"/>
      <c r="E5" s="93" t="inlineStr">
        <is>
          <t>:</t>
        </is>
      </c>
      <c r="F5" s="95">
        <f>+'03A-3'!F5</f>
        <v/>
      </c>
      <c r="G5" s="92" t="n"/>
      <c r="H5" s="92" t="n"/>
      <c r="I5" s="674" t="n"/>
      <c r="J5" s="674" t="n"/>
      <c r="K5" s="93" t="n"/>
      <c r="L5" s="675" t="n"/>
      <c r="M5" s="675" t="n"/>
    </row>
    <row r="6" ht="18.95" customHeight="1">
      <c r="A6" s="92" t="inlineStr">
        <is>
          <t>No. Kontrak</t>
        </is>
      </c>
      <c r="B6" s="110" t="n"/>
      <c r="C6" s="92" t="n"/>
      <c r="E6" s="93" t="inlineStr">
        <is>
          <t>:</t>
        </is>
      </c>
      <c r="F6" s="92">
        <f>+'RPD03'!E7</f>
        <v/>
      </c>
      <c r="G6" s="92" t="n"/>
      <c r="H6" s="92" t="n"/>
      <c r="I6" s="674" t="n"/>
      <c r="J6" s="674" t="n"/>
      <c r="K6" s="93" t="n"/>
      <c r="L6" s="675" t="n"/>
      <c r="M6" s="675" t="n"/>
    </row>
    <row r="7" ht="18.95" customHeight="1">
      <c r="A7" s="92" t="inlineStr">
        <is>
          <t>Jangka Waktu</t>
        </is>
      </c>
      <c r="B7" s="110" t="n"/>
      <c r="C7" s="92" t="n"/>
      <c r="E7" s="93" t="inlineStr">
        <is>
          <t>:</t>
        </is>
      </c>
      <c r="F7" s="92">
        <f>+'RPD03'!E8</f>
        <v/>
      </c>
      <c r="G7" s="92" t="n"/>
      <c r="H7" s="92" t="n"/>
      <c r="I7" s="674" t="n"/>
      <c r="J7" s="674" t="n"/>
      <c r="K7" s="93" t="n"/>
      <c r="L7" s="675" t="n"/>
      <c r="M7" s="675" t="n"/>
    </row>
    <row r="8" ht="18.95" customHeight="1">
      <c r="A8" s="92" t="inlineStr">
        <is>
          <t>Jenis Pekerjaan</t>
        </is>
      </c>
      <c r="B8" s="110" t="n"/>
      <c r="C8" s="92" t="n"/>
      <c r="E8" s="93" t="inlineStr">
        <is>
          <t>:</t>
        </is>
      </c>
      <c r="F8" s="675">
        <f>B14</f>
        <v/>
      </c>
      <c r="G8" s="92" t="n"/>
      <c r="H8" s="92" t="n"/>
      <c r="I8" s="674" t="n"/>
      <c r="J8" s="674" t="n"/>
      <c r="K8" s="93" t="n"/>
      <c r="L8" s="675" t="n"/>
      <c r="M8" s="675" t="n"/>
    </row>
    <row r="9" ht="18.95" customHeight="1">
      <c r="A9" s="92" t="inlineStr">
        <is>
          <t>Bobot THD Kontrak</t>
        </is>
      </c>
      <c r="B9" s="110" t="n"/>
      <c r="C9" s="92" t="n"/>
      <c r="E9" s="93" t="inlineStr">
        <is>
          <t>:</t>
        </is>
      </c>
      <c r="F9" s="728">
        <f>'RPD03'!K21</f>
        <v/>
      </c>
      <c r="G9" s="92" t="inlineStr">
        <is>
          <t>%</t>
        </is>
      </c>
      <c r="H9" s="92" t="n"/>
      <c r="I9" s="674" t="n"/>
      <c r="J9" s="674" t="n"/>
      <c r="K9" s="93" t="n"/>
      <c r="L9" s="675" t="n"/>
      <c r="M9" s="675" t="n"/>
    </row>
    <row r="10" ht="16.5" customHeight="1">
      <c r="A10" s="98" t="n"/>
      <c r="B10" s="112" t="n"/>
      <c r="C10" s="98" t="n"/>
      <c r="D10" s="98" t="n"/>
      <c r="E10" s="98" t="n"/>
      <c r="F10" s="2" t="n"/>
      <c r="G10" s="2" t="n"/>
      <c r="H10" s="2" t="n"/>
      <c r="I10" s="677" t="n"/>
      <c r="J10" s="677" t="n"/>
      <c r="K10" s="515" t="n"/>
      <c r="L10" s="654" t="n"/>
      <c r="M10" s="654" t="n"/>
    </row>
    <row r="11" ht="11.25" customFormat="1" customHeight="1" s="6">
      <c r="A11" s="678" t="inlineStr">
        <is>
          <t>No</t>
        </is>
      </c>
      <c r="B11" s="678" t="inlineStr">
        <is>
          <t>PERINCIAN PEKERJAAN</t>
        </is>
      </c>
      <c r="C11" s="569" t="n"/>
      <c r="D11" s="569" t="n"/>
      <c r="E11" s="569" t="n"/>
      <c r="F11" s="569" t="n"/>
      <c r="G11" s="569" t="n"/>
      <c r="H11" s="570" t="n"/>
      <c r="I11" s="679" t="inlineStr">
        <is>
          <t>BOBOT MATERIAL (%)</t>
        </is>
      </c>
      <c r="J11" s="679" t="inlineStr">
        <is>
          <t>PRESTASI MATERIAL (%)</t>
        </is>
      </c>
      <c r="K11" s="679" t="inlineStr">
        <is>
          <t>BOBOT JASA (%)</t>
        </is>
      </c>
      <c r="L11" s="679" t="inlineStr">
        <is>
          <t>PRESTASI JASA (%)</t>
        </is>
      </c>
      <c r="M11" s="679" t="inlineStr">
        <is>
          <t>PRESTASI TOTAL (%)</t>
        </is>
      </c>
    </row>
    <row r="12" ht="7.5" customFormat="1" customHeight="1" s="6">
      <c r="A12" s="574" t="n"/>
      <c r="B12" s="575" t="n"/>
      <c r="H12" s="576" t="n"/>
      <c r="I12" s="574" t="n"/>
      <c r="J12" s="574" t="n"/>
      <c r="K12" s="574" t="n"/>
      <c r="L12" s="574" t="n"/>
      <c r="M12" s="574" t="n"/>
    </row>
    <row r="13" ht="49.5" customFormat="1" customHeight="1" s="6">
      <c r="A13" s="652" t="n"/>
      <c r="B13" s="653" t="n"/>
      <c r="C13" s="654" t="n"/>
      <c r="D13" s="654" t="n"/>
      <c r="E13" s="654" t="n"/>
      <c r="F13" s="654" t="n"/>
      <c r="G13" s="654" t="n"/>
      <c r="H13" s="581" t="n"/>
      <c r="I13" s="652" t="n"/>
      <c r="J13" s="652" t="n"/>
      <c r="K13" s="652" t="n"/>
      <c r="L13" s="652" t="n"/>
      <c r="M13" s="652" t="n"/>
    </row>
    <row r="14" ht="16.15" customHeight="1">
      <c r="A14" s="680">
        <f>'Phisical Check'!A47</f>
        <v/>
      </c>
      <c r="B14" s="681">
        <f>'Phisical Check'!B47</f>
        <v/>
      </c>
      <c r="C14" s="682" t="n"/>
      <c r="D14" s="682" t="n"/>
      <c r="E14" s="682" t="n"/>
      <c r="F14" s="682" t="n"/>
      <c r="G14" s="682" t="n"/>
      <c r="H14" s="683" t="n"/>
      <c r="I14" s="684" t="n"/>
      <c r="J14" s="685" t="n"/>
      <c r="K14" s="686" t="n"/>
      <c r="L14" s="687" t="n"/>
      <c r="M14" s="726" t="n"/>
      <c r="O14" s="6" t="n"/>
      <c r="P14" s="6" t="n"/>
    </row>
    <row r="15" ht="16.15" customFormat="1" customHeight="1" s="155">
      <c r="A15" s="160" t="n"/>
      <c r="B15" s="183">
        <f>'Phisical Check'!B48</f>
        <v/>
      </c>
      <c r="C15" s="730">
        <f>'Phisical Check'!C48</f>
        <v/>
      </c>
      <c r="D15" s="690" t="n"/>
      <c r="E15" s="719" t="n"/>
      <c r="F15" s="719" t="n"/>
      <c r="G15" s="719" t="n"/>
      <c r="H15" s="720" t="n"/>
      <c r="I15" s="692" t="n"/>
      <c r="J15" s="287" t="n"/>
      <c r="K15" s="717" t="n"/>
      <c r="L15" s="284" t="n"/>
      <c r="M15" s="694" t="n"/>
    </row>
    <row r="16" ht="16.15" customFormat="1" customHeight="1" s="155">
      <c r="A16" s="160" t="n"/>
      <c r="B16" s="151" t="n"/>
      <c r="C16" s="729">
        <f>'Phisical Check'!C49</f>
        <v/>
      </c>
      <c r="D16" s="689">
        <f>'Phisical Check'!D49</f>
        <v/>
      </c>
      <c r="E16" s="719" t="n"/>
      <c r="F16" s="719" t="n"/>
      <c r="G16" s="719" t="n"/>
      <c r="H16" s="720" t="n"/>
      <c r="I16" s="692" t="n">
        <v>37.496247936365</v>
      </c>
      <c r="J16" s="293">
        <f>'Phisical Check'!Q49</f>
        <v/>
      </c>
      <c r="K16" s="717" t="n">
        <v>62.50375206363501</v>
      </c>
      <c r="L16" s="285">
        <f>'Phisical Check'!R49</f>
        <v/>
      </c>
      <c r="M16" s="694">
        <f>((I16*J16%)+(K16*L16%))*100</f>
        <v/>
      </c>
    </row>
    <row r="17" ht="16.15" customFormat="1" customHeight="1" s="155">
      <c r="A17" s="160" t="n"/>
      <c r="B17" s="183" t="n"/>
      <c r="C17" s="730" t="n"/>
      <c r="D17" s="689" t="n"/>
      <c r="E17" s="143" t="n"/>
      <c r="F17" s="143" t="n"/>
      <c r="G17" s="143" t="n"/>
      <c r="H17" s="144" t="n"/>
      <c r="I17" s="692" t="n"/>
      <c r="J17" s="287" t="n"/>
      <c r="K17" s="693" t="n"/>
      <c r="L17" s="284" t="n"/>
      <c r="M17" s="694" t="n"/>
    </row>
    <row r="18" ht="22.15" customFormat="1" customHeight="1" s="2">
      <c r="A18" s="698" t="n"/>
      <c r="B18" s="699" t="inlineStr">
        <is>
          <t>JUMLAH</t>
        </is>
      </c>
      <c r="C18" s="668" t="n"/>
      <c r="D18" s="668" t="n"/>
      <c r="E18" s="668" t="n"/>
      <c r="F18" s="668" t="n"/>
      <c r="G18" s="668" t="n"/>
      <c r="H18" s="668" t="n"/>
      <c r="I18" s="668" t="n"/>
      <c r="J18" s="668" t="n"/>
      <c r="K18" s="668" t="n"/>
      <c r="L18" s="578" t="n"/>
      <c r="M18" s="700">
        <f>SUM(M14:M17)</f>
        <v/>
      </c>
      <c r="O18" s="31" t="n"/>
      <c r="P18" s="31" t="n"/>
    </row>
    <row r="19" ht="7.9" customHeight="1">
      <c r="I19" s="723" t="n"/>
      <c r="J19" s="723" t="n"/>
      <c r="K19" s="724" t="n"/>
    </row>
    <row r="20" ht="13.35" customHeight="1">
      <c r="B20" s="128" t="inlineStr">
        <is>
          <t>Disetujui :</t>
        </is>
      </c>
      <c r="C20" s="128" t="n"/>
      <c r="D20" s="128" t="n"/>
      <c r="E20" s="128" t="n"/>
      <c r="F20" s="128" t="n"/>
      <c r="G20" s="128" t="n"/>
      <c r="H20" s="128" t="n"/>
      <c r="I20" s="128" t="n"/>
      <c r="J20" s="702">
        <f>'03A-4'!$J$31</f>
        <v/>
      </c>
      <c r="K20" s="103" t="n"/>
      <c r="L20" s="702" t="n"/>
      <c r="M20" s="702" t="n"/>
      <c r="N20" s="702" t="n"/>
    </row>
    <row r="21" ht="13.35" customHeight="1">
      <c r="B21" s="128">
        <f>'03A-4'!B32</f>
        <v/>
      </c>
      <c r="C21" s="128" t="n"/>
      <c r="D21" s="128" t="n"/>
      <c r="E21" s="128" t="n"/>
      <c r="F21" s="128" t="n"/>
      <c r="G21" s="128" t="n"/>
      <c r="H21" s="128" t="n"/>
      <c r="I21" s="103" t="n"/>
      <c r="J21" s="704">
        <f>'03A-3'!I23</f>
        <v/>
      </c>
      <c r="K21" s="103" t="n"/>
      <c r="L21" s="704" t="n"/>
      <c r="M21" s="704" t="n"/>
      <c r="N21" s="704" t="n"/>
    </row>
    <row r="22" ht="13.35" customHeight="1">
      <c r="B22" s="103" t="n"/>
      <c r="C22" s="103" t="n"/>
      <c r="D22" s="103" t="n"/>
      <c r="E22" s="103" t="n"/>
      <c r="F22" s="103" t="n"/>
      <c r="G22" s="103" t="n"/>
      <c r="H22" s="87" t="n"/>
      <c r="I22" s="103" t="n"/>
      <c r="J22" s="706" t="n"/>
      <c r="K22" s="103" t="n"/>
      <c r="L22" s="104" t="n"/>
      <c r="M22" s="707" t="n"/>
      <c r="N22" s="707" t="n"/>
    </row>
    <row r="23" ht="19.15" customHeight="1">
      <c r="B23" s="157" t="n"/>
      <c r="H23" s="87" t="n"/>
      <c r="I23" s="103" t="n"/>
      <c r="J23" s="706" t="n"/>
      <c r="K23" s="103" t="n"/>
      <c r="L23" s="104" t="n"/>
      <c r="M23" s="707" t="n"/>
      <c r="N23" s="707" t="n"/>
    </row>
    <row r="24" ht="13.35" customHeight="1">
      <c r="B24" s="157" t="n"/>
      <c r="H24" s="87" t="n"/>
      <c r="I24" s="103" t="n"/>
      <c r="J24" s="706" t="n"/>
      <c r="K24" s="103" t="n"/>
      <c r="L24" s="104" t="n"/>
      <c r="M24" s="707" t="n"/>
      <c r="N24" s="707" t="n"/>
    </row>
    <row r="25" ht="13.35" customHeight="1">
      <c r="B25" s="157" t="n"/>
      <c r="H25" s="87" t="n"/>
      <c r="I25" s="103" t="n"/>
      <c r="J25" s="706" t="n"/>
      <c r="K25" s="103" t="n"/>
      <c r="L25" s="104" t="n"/>
      <c r="M25" s="707" t="n"/>
      <c r="N25" s="707" t="n"/>
    </row>
    <row r="26" ht="13.35" customHeight="1">
      <c r="B26" s="157" t="n"/>
      <c r="H26" s="87" t="n"/>
      <c r="I26" s="103" t="n"/>
      <c r="J26" s="706" t="n"/>
      <c r="K26" s="103" t="n"/>
      <c r="L26" s="104" t="n"/>
      <c r="M26" s="707" t="n"/>
      <c r="N26" s="707" t="n"/>
    </row>
    <row r="27" ht="13.35" customHeight="1">
      <c r="B27" s="157" t="n"/>
      <c r="H27" s="87" t="n"/>
      <c r="I27" s="103" t="n"/>
      <c r="J27" s="103" t="n"/>
      <c r="K27" s="103" t="n"/>
      <c r="L27" s="103" t="n"/>
      <c r="M27" s="103" t="n"/>
    </row>
    <row r="28" ht="13.35" customHeight="1">
      <c r="B28" s="158">
        <f>'03A-3'!B30</f>
        <v/>
      </c>
      <c r="C28" s="128" t="n"/>
      <c r="D28" s="128" t="n"/>
      <c r="E28" s="128" t="n"/>
      <c r="G28" s="128" t="n"/>
      <c r="H28" s="127" t="n"/>
      <c r="I28" s="103" t="n"/>
      <c r="J28" s="704">
        <f>'03A-3'!I30</f>
        <v/>
      </c>
      <c r="K28" s="103" t="n"/>
      <c r="L28" s="704" t="n"/>
      <c r="M28" s="704" t="n"/>
      <c r="N28" s="704" t="n"/>
    </row>
    <row r="29" ht="13.35" customHeight="1">
      <c r="B29" s="126">
        <f>'03A-3'!B31</f>
        <v/>
      </c>
      <c r="C29" s="128" t="n"/>
      <c r="D29" s="128" t="n"/>
      <c r="E29" s="128" t="n"/>
      <c r="G29" s="128" t="n"/>
      <c r="H29" s="128" t="n"/>
      <c r="J29" s="704">
        <f>'03A-3'!I31</f>
        <v/>
      </c>
      <c r="K29" s="103" t="n"/>
      <c r="L29" s="704" t="n"/>
      <c r="M29" s="704" t="n"/>
      <c r="N29" s="704" t="n"/>
    </row>
  </sheetData>
  <mergeCells count="10">
    <mergeCell ref="A2:M2"/>
    <mergeCell ref="K10:M10"/>
    <mergeCell ref="A11:A13"/>
    <mergeCell ref="B11:H13"/>
    <mergeCell ref="I11:I13"/>
    <mergeCell ref="J11:J13"/>
    <mergeCell ref="K11:K13"/>
    <mergeCell ref="L11:L13"/>
    <mergeCell ref="M11:M13"/>
    <mergeCell ref="B18:L18"/>
  </mergeCells>
  <printOptions horizontalCentered="1"/>
  <pageMargins left="0" right="0" top="0.3543307086614174" bottom="0.5118110236220472" header="0.3149606299212598" footer="0.3149606299212598"/>
  <pageSetup orientation="portrait" paperSize="9" scale="75"/>
  <headerFooter>
    <oddHeader/>
    <oddFooter>&amp;LRPD 03A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theme="8" tint="0.7999816888943144"/>
    <outlinePr summaryBelow="1" summaryRight="1"/>
    <pageSetUpPr/>
  </sheetPr>
  <dimension ref="A1:P29"/>
  <sheetViews>
    <sheetView view="pageBreakPreview" topLeftCell="A4" zoomScale="90" zoomScaleNormal="90" zoomScaleSheetLayoutView="90" workbookViewId="0">
      <selection activeCell="I33" sqref="I33"/>
    </sheetView>
  </sheetViews>
  <sheetFormatPr baseColWidth="8" defaultColWidth="9.14453125" defaultRowHeight="12.75"/>
  <cols>
    <col width="4.9765625" customWidth="1" style="157" min="1" max="1"/>
    <col width="3.62890625" customWidth="1" style="113" min="2" max="2"/>
    <col width="3.8984375" customWidth="1" style="87" min="3" max="3"/>
    <col width="9.28125" customWidth="1" style="87" min="4" max="4"/>
    <col width="4.16796875" customWidth="1" style="87" min="5" max="5"/>
    <col width="12.5078125" customWidth="1" style="103" min="6" max="6"/>
    <col width="16.8125" customWidth="1" style="103" min="7" max="7"/>
    <col width="10.76171875" customWidth="1" style="103" min="8" max="8"/>
    <col width="13.98828125" customWidth="1" style="672" min="9" max="9"/>
    <col width="14.66015625" customWidth="1" style="672" min="10" max="10"/>
    <col width="9.953125" bestFit="1" customWidth="1" style="88" min="11" max="11"/>
    <col width="13.85546875" customWidth="1" style="673" min="12" max="12"/>
    <col width="14.66015625" customWidth="1" style="673" min="13" max="13"/>
    <col width="9.14453125" customWidth="1" style="103" min="14" max="14"/>
    <col width="9.953125" bestFit="1" customWidth="1" style="103" min="15" max="15"/>
    <col width="9.14453125" customWidth="1" style="103" min="16" max="16384"/>
  </cols>
  <sheetData>
    <row r="1" ht="19.5" customHeight="1">
      <c r="A1" s="157" t="n"/>
      <c r="B1" s="113" t="n"/>
      <c r="C1" s="87" t="n"/>
      <c r="D1" s="87" t="n"/>
      <c r="E1" s="87" t="n"/>
      <c r="F1" s="103" t="n"/>
      <c r="G1" s="103" t="n"/>
      <c r="H1" s="103" t="n"/>
      <c r="I1" s="672" t="n"/>
      <c r="J1" s="672" t="n"/>
      <c r="K1" s="88" t="n"/>
      <c r="L1" s="673" t="n"/>
      <c r="M1" s="673" t="n"/>
    </row>
    <row r="2" ht="26.25" customHeight="1">
      <c r="A2" s="499" t="inlineStr">
        <is>
          <t>RINCIAN PRESTASI PEKERJAAN</t>
        </is>
      </c>
    </row>
    <row r="3" ht="18.75" customHeight="1">
      <c r="A3" s="157" t="n"/>
      <c r="B3" s="113" t="n"/>
      <c r="C3" s="87" t="n"/>
      <c r="D3" s="87" t="n"/>
      <c r="E3" s="87" t="n"/>
      <c r="F3" s="103" t="n"/>
      <c r="G3" s="103" t="n"/>
      <c r="H3" s="103" t="n"/>
      <c r="I3" s="672" t="n"/>
      <c r="J3" s="672" t="n"/>
      <c r="K3" s="88" t="n"/>
      <c r="L3" s="673" t="n"/>
      <c r="M3" s="673" t="n"/>
    </row>
    <row r="4" ht="18.6" customHeight="1">
      <c r="A4" s="91" t="inlineStr">
        <is>
          <t xml:space="preserve">Nama Pekerjaan </t>
        </is>
      </c>
      <c r="B4" s="110" t="n"/>
      <c r="C4" s="92" t="n"/>
      <c r="E4" s="117" t="inlineStr">
        <is>
          <t>:</t>
        </is>
      </c>
      <c r="F4" s="182">
        <f>+'RPD03'!E6</f>
        <v/>
      </c>
      <c r="G4" s="91" t="n"/>
      <c r="H4" s="91" t="n"/>
      <c r="I4" s="91" t="n"/>
      <c r="J4" s="91" t="n"/>
      <c r="K4" s="91" t="n"/>
      <c r="L4" s="91" t="n"/>
      <c r="M4" s="91" t="n"/>
    </row>
    <row r="5" ht="18.95" customHeight="1">
      <c r="A5" s="92" t="inlineStr">
        <is>
          <t xml:space="preserve">Periode </t>
        </is>
      </c>
      <c r="B5" s="110" t="n"/>
      <c r="C5" s="92" t="n"/>
      <c r="E5" s="93" t="inlineStr">
        <is>
          <t>:</t>
        </is>
      </c>
      <c r="F5" s="95">
        <f>+'03A-3'!F5</f>
        <v/>
      </c>
      <c r="G5" s="92" t="n"/>
      <c r="H5" s="92" t="n"/>
      <c r="I5" s="674" t="n"/>
      <c r="J5" s="674" t="n"/>
      <c r="K5" s="93" t="n"/>
      <c r="L5" s="675" t="n"/>
      <c r="M5" s="675" t="n"/>
    </row>
    <row r="6" ht="18.95" customHeight="1">
      <c r="A6" s="92" t="inlineStr">
        <is>
          <t>No. Kontrak</t>
        </is>
      </c>
      <c r="B6" s="110" t="n"/>
      <c r="C6" s="92" t="n"/>
      <c r="E6" s="93" t="inlineStr">
        <is>
          <t>:</t>
        </is>
      </c>
      <c r="F6" s="92">
        <f>+'RPD03'!E7</f>
        <v/>
      </c>
      <c r="G6" s="92" t="n"/>
      <c r="H6" s="92" t="n"/>
      <c r="I6" s="674" t="n"/>
      <c r="J6" s="674" t="n"/>
      <c r="K6" s="93" t="n"/>
      <c r="L6" s="675" t="n"/>
      <c r="M6" s="675" t="n"/>
    </row>
    <row r="7" ht="18.95" customHeight="1">
      <c r="A7" s="92" t="inlineStr">
        <is>
          <t>Jangka Waktu</t>
        </is>
      </c>
      <c r="B7" s="110" t="n"/>
      <c r="C7" s="92" t="n"/>
      <c r="E7" s="93" t="inlineStr">
        <is>
          <t>:</t>
        </is>
      </c>
      <c r="F7" s="92">
        <f>+'RPD03'!E8</f>
        <v/>
      </c>
      <c r="G7" s="92" t="n"/>
      <c r="H7" s="92" t="n"/>
      <c r="I7" s="674" t="n"/>
      <c r="J7" s="674" t="n"/>
      <c r="K7" s="93" t="n"/>
      <c r="L7" s="675" t="n"/>
      <c r="M7" s="675" t="n"/>
    </row>
    <row r="8" ht="18.95" customHeight="1">
      <c r="A8" s="92" t="inlineStr">
        <is>
          <t>Jenis Pekerjaan</t>
        </is>
      </c>
      <c r="B8" s="110" t="n"/>
      <c r="C8" s="92" t="n"/>
      <c r="E8" s="93" t="inlineStr">
        <is>
          <t>:</t>
        </is>
      </c>
      <c r="F8" s="675">
        <f>B14</f>
        <v/>
      </c>
      <c r="G8" s="92" t="n"/>
      <c r="H8" s="92" t="n"/>
      <c r="I8" s="674" t="n"/>
      <c r="J8" s="674" t="n"/>
      <c r="K8" s="93" t="n"/>
      <c r="L8" s="675" t="n"/>
      <c r="M8" s="675" t="n"/>
    </row>
    <row r="9" ht="18.95" customHeight="1">
      <c r="A9" s="92" t="inlineStr">
        <is>
          <t>Bobot THD Kontrak</t>
        </is>
      </c>
      <c r="B9" s="110" t="n"/>
      <c r="C9" s="92" t="n"/>
      <c r="E9" s="93" t="inlineStr">
        <is>
          <t>:</t>
        </is>
      </c>
      <c r="F9" s="728">
        <f>'RPD03'!K23</f>
        <v/>
      </c>
      <c r="G9" s="92" t="inlineStr">
        <is>
          <t>%</t>
        </is>
      </c>
      <c r="H9" s="92" t="n"/>
      <c r="I9" s="674" t="n"/>
      <c r="J9" s="674" t="n"/>
      <c r="K9" s="93" t="n"/>
      <c r="L9" s="675" t="n"/>
      <c r="M9" s="675" t="n"/>
    </row>
    <row r="10" ht="16.5" customHeight="1">
      <c r="A10" s="98" t="n"/>
      <c r="B10" s="112" t="n"/>
      <c r="C10" s="98" t="n"/>
      <c r="D10" s="98" t="n"/>
      <c r="E10" s="98" t="n"/>
      <c r="F10" s="2" t="n"/>
      <c r="G10" s="2" t="n"/>
      <c r="H10" s="2" t="n"/>
      <c r="I10" s="677" t="n"/>
      <c r="J10" s="677" t="n"/>
      <c r="K10" s="515" t="n"/>
      <c r="L10" s="654" t="n"/>
      <c r="M10" s="654" t="n"/>
    </row>
    <row r="11" ht="11.25" customFormat="1" customHeight="1" s="6">
      <c r="A11" s="678" t="inlineStr">
        <is>
          <t>No</t>
        </is>
      </c>
      <c r="B11" s="678" t="inlineStr">
        <is>
          <t>PERINCIAN PEKERJAAN</t>
        </is>
      </c>
      <c r="C11" s="569" t="n"/>
      <c r="D11" s="569" t="n"/>
      <c r="E11" s="569" t="n"/>
      <c r="F11" s="569" t="n"/>
      <c r="G11" s="569" t="n"/>
      <c r="H11" s="570" t="n"/>
      <c r="I11" s="679" t="inlineStr">
        <is>
          <t>BOBOT MATERIAL (%)</t>
        </is>
      </c>
      <c r="J11" s="679" t="inlineStr">
        <is>
          <t>PRESTASI MATERIAL (%)</t>
        </is>
      </c>
      <c r="K11" s="679" t="inlineStr">
        <is>
          <t>BOBOT JASA (%)</t>
        </is>
      </c>
      <c r="L11" s="679" t="inlineStr">
        <is>
          <t>PRESTASI JASA (%)</t>
        </is>
      </c>
      <c r="M11" s="679" t="inlineStr">
        <is>
          <t>PRESTASI TOTAL (%)</t>
        </is>
      </c>
    </row>
    <row r="12" ht="7.5" customFormat="1" customHeight="1" s="6">
      <c r="A12" s="574" t="n"/>
      <c r="B12" s="575" t="n"/>
      <c r="H12" s="576" t="n"/>
      <c r="I12" s="574" t="n"/>
      <c r="J12" s="574" t="n"/>
      <c r="K12" s="574" t="n"/>
      <c r="L12" s="574" t="n"/>
      <c r="M12" s="574" t="n"/>
    </row>
    <row r="13" ht="49.5" customFormat="1" customHeight="1" s="6">
      <c r="A13" s="652" t="n"/>
      <c r="B13" s="653" t="n"/>
      <c r="C13" s="654" t="n"/>
      <c r="D13" s="654" t="n"/>
      <c r="E13" s="654" t="n"/>
      <c r="F13" s="654" t="n"/>
      <c r="G13" s="654" t="n"/>
      <c r="H13" s="581" t="n"/>
      <c r="I13" s="652" t="n"/>
      <c r="J13" s="652" t="n"/>
      <c r="K13" s="652" t="n"/>
      <c r="L13" s="652" t="n"/>
      <c r="M13" s="652" t="n"/>
    </row>
    <row r="14" ht="16.15" customHeight="1">
      <c r="A14" s="680">
        <f>'Phisical Check'!A51</f>
        <v/>
      </c>
      <c r="B14" s="681">
        <f>'Phisical Check'!B51</f>
        <v/>
      </c>
      <c r="C14" s="682" t="n"/>
      <c r="D14" s="682" t="n"/>
      <c r="E14" s="682" t="n"/>
      <c r="F14" s="682" t="n"/>
      <c r="G14" s="682" t="n"/>
      <c r="H14" s="683" t="n"/>
      <c r="I14" s="684" t="n"/>
      <c r="J14" s="685" t="n"/>
      <c r="K14" s="686" t="n"/>
      <c r="L14" s="687" t="n"/>
      <c r="M14" s="726" t="n"/>
      <c r="O14" s="6" t="n"/>
      <c r="P14" s="6" t="n"/>
    </row>
    <row r="15" ht="16.15" customFormat="1" customHeight="1" s="155">
      <c r="A15" s="161" t="n"/>
      <c r="B15" s="151">
        <f>'Phisical Check'!B52</f>
        <v/>
      </c>
      <c r="C15" s="729">
        <f>'Phisical Check'!C52</f>
        <v/>
      </c>
      <c r="D15" s="690" t="n"/>
      <c r="E15" s="719" t="n"/>
      <c r="F15" s="719" t="n"/>
      <c r="G15" s="719" t="n"/>
      <c r="H15" s="720" t="n"/>
      <c r="I15" s="692" t="n"/>
      <c r="J15" s="693" t="n"/>
      <c r="K15" s="717" t="n">
        <v>16.61420497326043</v>
      </c>
      <c r="L15" s="727">
        <f>'Phisical Check'!R52</f>
        <v/>
      </c>
      <c r="M15" s="694">
        <f>((I15*J15%)+(K15*L15%))*100</f>
        <v/>
      </c>
    </row>
    <row r="16" ht="16.15" customFormat="1" customHeight="1" s="155">
      <c r="A16" s="160" t="n"/>
      <c r="B16" s="151">
        <f>'Phisical Check'!B53</f>
        <v/>
      </c>
      <c r="C16" s="729">
        <f>'Phisical Check'!C53</f>
        <v/>
      </c>
      <c r="D16" s="690" t="n"/>
      <c r="E16" s="719" t="n"/>
      <c r="F16" s="719" t="n"/>
      <c r="G16" s="719" t="n"/>
      <c r="H16" s="720" t="n"/>
      <c r="I16" s="692" t="n"/>
      <c r="J16" s="693" t="n"/>
      <c r="K16" s="717" t="n">
        <v>5.802309753423142</v>
      </c>
      <c r="L16" s="727">
        <f>'Phisical Check'!R53</f>
        <v/>
      </c>
      <c r="M16" s="694">
        <f>((I16*J16%)+(K16*L16%))*100</f>
        <v/>
      </c>
    </row>
    <row r="17" ht="16.15" customFormat="1" customHeight="1" s="155">
      <c r="A17" s="160" t="n"/>
      <c r="B17" s="151">
        <f>'Phisical Check'!B54</f>
        <v/>
      </c>
      <c r="C17" s="729">
        <f>'Phisical Check'!C54</f>
        <v/>
      </c>
      <c r="D17" s="690" t="n"/>
      <c r="E17" s="143" t="n"/>
      <c r="F17" s="143" t="n"/>
      <c r="G17" s="143" t="n"/>
      <c r="H17" s="144" t="n"/>
      <c r="I17" s="692" t="n"/>
      <c r="J17" s="693" t="n"/>
      <c r="K17" s="717" t="n">
        <v>77.58348527331641</v>
      </c>
      <c r="L17" s="727">
        <f>'Phisical Check'!R54</f>
        <v/>
      </c>
      <c r="M17" s="694">
        <f>((I17*J17%)+(K17*L17%))*100</f>
        <v/>
      </c>
    </row>
    <row r="18" ht="22.15" customFormat="1" customHeight="1" s="2">
      <c r="A18" s="698" t="n"/>
      <c r="B18" s="699" t="inlineStr">
        <is>
          <t>JUMLAH</t>
        </is>
      </c>
      <c r="C18" s="668" t="n"/>
      <c r="D18" s="668" t="n"/>
      <c r="E18" s="668" t="n"/>
      <c r="F18" s="668" t="n"/>
      <c r="G18" s="668" t="n"/>
      <c r="H18" s="668" t="n"/>
      <c r="I18" s="668" t="n"/>
      <c r="J18" s="668" t="n"/>
      <c r="K18" s="668" t="n"/>
      <c r="L18" s="578" t="n"/>
      <c r="M18" s="700">
        <f>SUM(M15:M17)</f>
        <v/>
      </c>
      <c r="O18" s="31" t="n"/>
      <c r="P18" s="31" t="n"/>
    </row>
    <row r="19" ht="7.9" customHeight="1">
      <c r="I19" s="723" t="n"/>
      <c r="J19" s="723" t="n"/>
      <c r="K19" s="724" t="n"/>
    </row>
    <row r="20" ht="13.35" customHeight="1">
      <c r="B20" s="128" t="inlineStr">
        <is>
          <t>Disetujui :</t>
        </is>
      </c>
      <c r="C20" s="128" t="n"/>
      <c r="D20" s="128" t="n"/>
      <c r="E20" s="128" t="n"/>
      <c r="F20" s="128" t="n"/>
      <c r="G20" s="128" t="n"/>
      <c r="H20" s="128" t="n"/>
      <c r="I20" s="128" t="n"/>
      <c r="J20" s="702">
        <f>'03A-5'!$J$20</f>
        <v/>
      </c>
      <c r="K20" s="103" t="n"/>
      <c r="L20" s="702" t="n"/>
      <c r="M20" s="702" t="n"/>
      <c r="N20" s="702" t="n"/>
    </row>
    <row r="21" ht="13.35" customHeight="1">
      <c r="B21" s="128">
        <f>'03A-4'!B32</f>
        <v/>
      </c>
      <c r="C21" s="128" t="n"/>
      <c r="D21" s="128" t="n"/>
      <c r="E21" s="128" t="n"/>
      <c r="F21" s="128" t="n"/>
      <c r="G21" s="128" t="n"/>
      <c r="H21" s="128" t="n"/>
      <c r="I21" s="103" t="n"/>
      <c r="J21" s="704">
        <f>'03A-3'!I23</f>
        <v/>
      </c>
      <c r="K21" s="103" t="n"/>
      <c r="L21" s="704" t="n"/>
      <c r="M21" s="704" t="n"/>
      <c r="N21" s="704" t="n"/>
    </row>
    <row r="22" ht="13.35" customHeight="1">
      <c r="B22" s="103" t="n"/>
      <c r="C22" s="103" t="n"/>
      <c r="D22" s="103" t="n"/>
      <c r="E22" s="103" t="n"/>
      <c r="F22" s="103" t="n"/>
      <c r="G22" s="103" t="n"/>
      <c r="H22" s="87" t="n"/>
      <c r="I22" s="103" t="n"/>
      <c r="J22" s="706" t="n"/>
      <c r="K22" s="103" t="n"/>
      <c r="L22" s="104" t="n"/>
      <c r="M22" s="707" t="n"/>
      <c r="N22" s="707" t="n"/>
    </row>
    <row r="23" ht="19.15" customHeight="1">
      <c r="B23" s="157" t="n"/>
      <c r="H23" s="87" t="n"/>
      <c r="I23" s="103" t="n"/>
      <c r="J23" s="706" t="n"/>
      <c r="K23" s="103" t="n"/>
      <c r="L23" s="104" t="n"/>
      <c r="M23" s="707" t="n"/>
      <c r="N23" s="707" t="n"/>
    </row>
    <row r="24" ht="13.35" customHeight="1">
      <c r="B24" s="157" t="n"/>
      <c r="H24" s="87" t="n"/>
      <c r="I24" s="103" t="n"/>
      <c r="J24" s="706" t="n"/>
      <c r="K24" s="103" t="n"/>
      <c r="L24" s="104" t="n"/>
      <c r="M24" s="707" t="n"/>
      <c r="N24" s="707" t="n"/>
    </row>
    <row r="25" ht="13.35" customHeight="1">
      <c r="B25" s="157" t="n"/>
      <c r="H25" s="87" t="n"/>
      <c r="I25" s="103" t="n"/>
      <c r="J25" s="706" t="n"/>
      <c r="K25" s="103" t="n"/>
      <c r="L25" s="104" t="n"/>
      <c r="M25" s="707" t="n"/>
      <c r="N25" s="707" t="n"/>
    </row>
    <row r="26" ht="13.35" customHeight="1">
      <c r="B26" s="157" t="n"/>
      <c r="H26" s="87" t="n"/>
      <c r="I26" s="103" t="n"/>
      <c r="J26" s="706" t="n"/>
      <c r="K26" s="103" t="n"/>
      <c r="L26" s="104" t="n"/>
      <c r="M26" s="707" t="n"/>
      <c r="N26" s="707" t="n"/>
    </row>
    <row r="27" ht="13.35" customHeight="1">
      <c r="B27" s="157" t="n"/>
      <c r="H27" s="87" t="n"/>
      <c r="I27" s="103" t="n"/>
      <c r="J27" s="103" t="n"/>
      <c r="K27" s="103" t="n"/>
      <c r="L27" s="103" t="n"/>
      <c r="M27" s="103" t="n"/>
    </row>
    <row r="28" ht="13.35" customHeight="1">
      <c r="B28" s="158">
        <f>'03A-3'!B30</f>
        <v/>
      </c>
      <c r="C28" s="128" t="n"/>
      <c r="D28" s="128" t="n"/>
      <c r="E28" s="128" t="n"/>
      <c r="G28" s="128" t="n"/>
      <c r="H28" s="127" t="n"/>
      <c r="I28" s="103" t="n"/>
      <c r="J28" s="704">
        <f>'03A-3'!I30</f>
        <v/>
      </c>
      <c r="K28" s="103" t="n"/>
      <c r="L28" s="704" t="n"/>
      <c r="M28" s="704" t="n"/>
      <c r="N28" s="704" t="n"/>
    </row>
    <row r="29" ht="13.35" customHeight="1">
      <c r="B29" s="126">
        <f>'03A-3'!B31</f>
        <v/>
      </c>
      <c r="C29" s="128" t="n"/>
      <c r="D29" s="128" t="n"/>
      <c r="E29" s="128" t="n"/>
      <c r="G29" s="128" t="n"/>
      <c r="H29" s="128" t="n"/>
      <c r="J29" s="704">
        <f>'03A-3'!I31</f>
        <v/>
      </c>
      <c r="K29" s="103" t="n"/>
      <c r="L29" s="704" t="n"/>
      <c r="M29" s="704" t="n"/>
      <c r="N29" s="704" t="n"/>
    </row>
  </sheetData>
  <mergeCells count="10">
    <mergeCell ref="B18:L18"/>
    <mergeCell ref="A2:M2"/>
    <mergeCell ref="K10:M10"/>
    <mergeCell ref="A11:A13"/>
    <mergeCell ref="B11:H13"/>
    <mergeCell ref="I11:I13"/>
    <mergeCell ref="J11:J13"/>
    <mergeCell ref="K11:K13"/>
    <mergeCell ref="L11:L13"/>
    <mergeCell ref="M11:M13"/>
  </mergeCells>
  <printOptions horizontalCentered="1"/>
  <pageMargins left="0" right="0" top="0.3543307086614174" bottom="0.5118110236220472" header="0.3149606299212598" footer="0.3149606299212598"/>
  <pageSetup orientation="portrait" paperSize="9" scale="75"/>
  <headerFooter>
    <oddHeader/>
    <oddFooter>&amp;LRPD 03A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3:AC283"/>
  <sheetViews>
    <sheetView topLeftCell="A58" zoomScale="60" zoomScaleNormal="60" workbookViewId="0">
      <selection activeCell="I75" sqref="I75"/>
    </sheetView>
  </sheetViews>
  <sheetFormatPr baseColWidth="8" defaultColWidth="8.875" defaultRowHeight="13.5"/>
  <cols>
    <col width="8.875" customWidth="1" style="296" min="1" max="1"/>
    <col width="5.6484375" customWidth="1" style="296" min="2" max="2"/>
    <col width="6.1875" customWidth="1" style="296" min="3" max="3"/>
    <col width="4.4375" customWidth="1" style="296" min="4" max="4"/>
    <col width="6.859375" customWidth="1" style="296" min="5" max="5"/>
    <col width="6.72265625" customWidth="1" style="296" min="6" max="6"/>
    <col width="86.90234375" customWidth="1" style="296" min="7" max="7"/>
    <col width="11.56640625" bestFit="1" customWidth="1" style="296" min="8" max="8"/>
    <col width="15.46875" customWidth="1" style="296" min="9" max="9"/>
    <col width="8.875" customWidth="1" style="296" min="10" max="27"/>
    <col width="16.6796875" customWidth="1" style="296" min="28" max="28"/>
    <col width="8.875" customWidth="1" style="296" min="29" max="16384"/>
  </cols>
  <sheetData>
    <row r="3" ht="27.75" customHeight="1">
      <c r="A3" s="533" t="inlineStr">
        <is>
          <t>TIME SCHEDULLE</t>
        </is>
      </c>
    </row>
    <row r="4" ht="14.25" customHeight="1">
      <c r="A4" s="297" t="n"/>
      <c r="B4" s="297" t="n"/>
      <c r="C4" s="297" t="n"/>
      <c r="D4" s="297" t="n"/>
      <c r="E4" s="297" t="n"/>
      <c r="F4" s="297" t="n"/>
      <c r="G4" s="298" t="n"/>
    </row>
    <row r="5" ht="20.25" customFormat="1" customHeight="1" s="302">
      <c r="A5" s="299">
        <f>[2]BOQ!A3</f>
        <v/>
      </c>
      <c r="B5" s="300" t="n"/>
      <c r="C5" s="300" t="n"/>
      <c r="D5" s="300" t="n"/>
      <c r="E5" s="300" t="n"/>
      <c r="F5" s="301" t="inlineStr">
        <is>
          <t>:</t>
        </is>
      </c>
      <c r="G5" s="299">
        <f>[2]BOQ!E3</f>
        <v/>
      </c>
    </row>
    <row r="6" ht="20.25" customFormat="1" customHeight="1" s="302">
      <c r="A6" s="299">
        <f>[2]BOQ!A4</f>
        <v/>
      </c>
      <c r="B6" s="300" t="n"/>
      <c r="C6" s="300" t="n"/>
      <c r="D6" s="300" t="n"/>
      <c r="E6" s="300" t="n"/>
      <c r="F6" s="301" t="inlineStr">
        <is>
          <t>:</t>
        </is>
      </c>
      <c r="G6" s="299">
        <f>[2]BOQ!E4</f>
        <v/>
      </c>
    </row>
    <row r="7" ht="20.25" customFormat="1" customHeight="1" s="302">
      <c r="A7" s="299" t="inlineStr">
        <is>
          <t>Jangka Waktu</t>
        </is>
      </c>
      <c r="B7" s="300" t="n"/>
      <c r="C7" s="300" t="n"/>
      <c r="D7" s="300" t="n"/>
      <c r="E7" s="300" t="n"/>
      <c r="F7" s="301" t="inlineStr">
        <is>
          <t>:</t>
        </is>
      </c>
      <c r="G7" s="299" t="inlineStr">
        <is>
          <t>120 (Seratus Dua Puluh) hari kalender</t>
        </is>
      </c>
    </row>
    <row r="8" ht="14.25" customHeight="1" thickBot="1">
      <c r="A8" s="303" t="n"/>
      <c r="B8" s="303" t="n"/>
      <c r="C8" s="303" t="n"/>
      <c r="D8" s="303" t="n"/>
      <c r="E8" s="303" t="n"/>
      <c r="F8" s="303" t="n"/>
      <c r="G8" s="303" t="n"/>
      <c r="H8" s="304" t="n"/>
      <c r="I8" s="304" t="n"/>
      <c r="J8" s="534" t="n"/>
      <c r="K8" s="731" t="n"/>
      <c r="L8" s="731" t="n"/>
      <c r="M8" s="731" t="n"/>
      <c r="N8" s="535" t="n"/>
      <c r="O8" s="731" t="n"/>
      <c r="P8" s="731" t="n"/>
      <c r="Q8" s="535" t="n"/>
      <c r="R8" s="535" t="n"/>
      <c r="S8" s="304" t="n"/>
      <c r="T8" s="304" t="n"/>
      <c r="U8" s="304" t="n"/>
      <c r="V8" s="304" t="n"/>
      <c r="W8" s="304" t="n"/>
      <c r="X8" s="304" t="n"/>
      <c r="Y8" s="304" t="n"/>
      <c r="Z8" s="304" t="n"/>
      <c r="AA8" s="304" t="n"/>
      <c r="AB8" s="304" t="n"/>
    </row>
    <row r="9" ht="20.45" customFormat="1" customHeight="1" s="306">
      <c r="A9" s="732" t="inlineStr">
        <is>
          <t>NO</t>
        </is>
      </c>
      <c r="B9" s="732" t="inlineStr">
        <is>
          <t>URAIAN PEKERJAAN</t>
        </is>
      </c>
      <c r="C9" s="733" t="n"/>
      <c r="D9" s="733" t="n"/>
      <c r="E9" s="733" t="n"/>
      <c r="F9" s="733" t="n"/>
      <c r="G9" s="734" t="n"/>
      <c r="H9" s="735" t="inlineStr">
        <is>
          <t>BOBOT %</t>
        </is>
      </c>
      <c r="I9" s="736" t="inlineStr">
        <is>
          <t>KET.</t>
        </is>
      </c>
      <c r="J9" s="536" t="n">
        <v>45870</v>
      </c>
      <c r="K9" s="737" t="n"/>
      <c r="L9" s="737" t="n"/>
      <c r="M9" s="737" t="n"/>
      <c r="N9" s="738" t="n">
        <v>45901</v>
      </c>
      <c r="O9" s="737" t="n"/>
      <c r="P9" s="737" t="n"/>
      <c r="Q9" s="739" t="n"/>
      <c r="R9" s="738" t="n">
        <v>45931</v>
      </c>
      <c r="S9" s="737" t="n"/>
      <c r="T9" s="737" t="n"/>
      <c r="U9" s="737" t="n"/>
      <c r="V9" s="739" t="n"/>
      <c r="W9" s="560" t="n">
        <v>45962</v>
      </c>
      <c r="X9" s="737" t="n"/>
      <c r="Y9" s="737" t="n"/>
      <c r="Z9" s="737" t="n"/>
      <c r="AA9" s="739" t="n"/>
      <c r="AB9" s="740" t="inlineStr">
        <is>
          <t>VALUE SCALE</t>
        </is>
      </c>
    </row>
    <row r="10" ht="25.15" customFormat="1" customHeight="1" s="306">
      <c r="A10" s="741" t="n"/>
      <c r="B10" s="742" t="n"/>
      <c r="G10" s="743" t="n"/>
      <c r="H10" s="741" t="n"/>
      <c r="I10" s="741" t="n"/>
      <c r="J10" s="561" t="inlineStr">
        <is>
          <t>MINGGU KE -</t>
        </is>
      </c>
      <c r="N10" s="744" t="inlineStr">
        <is>
          <t>MINGGU KE -</t>
        </is>
      </c>
      <c r="Q10" s="743" t="n"/>
      <c r="R10" s="744" t="inlineStr">
        <is>
          <t>MINGGU KE -</t>
        </is>
      </c>
      <c r="V10" s="743" t="n"/>
      <c r="W10" s="532" t="inlineStr">
        <is>
          <t>MINGGU KE -</t>
        </is>
      </c>
      <c r="AA10" s="743" t="n"/>
      <c r="AB10" s="743" t="n"/>
    </row>
    <row r="11" ht="21" customFormat="1" customHeight="1" s="306">
      <c r="A11" s="741" t="n"/>
      <c r="B11" s="742" t="n"/>
      <c r="G11" s="743" t="n"/>
      <c r="H11" s="741" t="n"/>
      <c r="I11" s="741" t="n"/>
      <c r="J11" s="445" t="n">
        <v>1</v>
      </c>
      <c r="K11" s="446" t="n">
        <v>2</v>
      </c>
      <c r="L11" s="446" t="n">
        <v>3</v>
      </c>
      <c r="M11" s="447" t="n">
        <v>4</v>
      </c>
      <c r="N11" s="445" t="n">
        <v>5</v>
      </c>
      <c r="O11" s="446" t="n">
        <v>6</v>
      </c>
      <c r="P11" s="446" t="n">
        <v>7</v>
      </c>
      <c r="Q11" s="448" t="n">
        <v>8</v>
      </c>
      <c r="R11" s="445" t="n">
        <v>9</v>
      </c>
      <c r="S11" s="446" t="n">
        <v>10</v>
      </c>
      <c r="T11" s="446" t="n">
        <v>11</v>
      </c>
      <c r="U11" s="446" t="n">
        <v>12</v>
      </c>
      <c r="V11" s="448" t="n">
        <v>13</v>
      </c>
      <c r="W11" s="449" t="n">
        <v>14</v>
      </c>
      <c r="X11" s="446" t="n">
        <v>15</v>
      </c>
      <c r="Y11" s="446" t="n">
        <v>16</v>
      </c>
      <c r="Z11" s="446" t="n">
        <v>17</v>
      </c>
      <c r="AA11" s="448" t="n">
        <v>18</v>
      </c>
      <c r="AB11" s="743" t="n"/>
    </row>
    <row r="12" ht="30" customHeight="1" thickBot="1">
      <c r="A12" s="745" t="n"/>
      <c r="B12" s="746" t="n"/>
      <c r="C12" s="731" t="n"/>
      <c r="D12" s="731" t="n"/>
      <c r="E12" s="731" t="n"/>
      <c r="F12" s="731" t="n"/>
      <c r="G12" s="747" t="n"/>
      <c r="H12" s="745" t="n"/>
      <c r="I12" s="745" t="n"/>
      <c r="J12" s="450" t="inlineStr">
        <is>
          <t>31 jul-6 ags</t>
        </is>
      </c>
      <c r="K12" s="451" t="inlineStr">
        <is>
          <t>7-13 ags</t>
        </is>
      </c>
      <c r="L12" s="451" t="inlineStr">
        <is>
          <t>14-20 ags</t>
        </is>
      </c>
      <c r="M12" s="452" t="inlineStr">
        <is>
          <t>21-27 ags</t>
        </is>
      </c>
      <c r="N12" s="450" t="inlineStr">
        <is>
          <t>28 ags-3 sep</t>
        </is>
      </c>
      <c r="O12" s="451" t="inlineStr">
        <is>
          <t>4-10 sep</t>
        </is>
      </c>
      <c r="P12" s="451" t="inlineStr">
        <is>
          <t>11-17 sep</t>
        </is>
      </c>
      <c r="Q12" s="453" t="inlineStr">
        <is>
          <t>18-24 sep</t>
        </is>
      </c>
      <c r="R12" s="450" t="inlineStr">
        <is>
          <t>25 sep-1 okt</t>
        </is>
      </c>
      <c r="S12" s="451" t="inlineStr">
        <is>
          <t>2-8 okt</t>
        </is>
      </c>
      <c r="T12" s="451" t="inlineStr">
        <is>
          <t>9-15 okt</t>
        </is>
      </c>
      <c r="U12" s="451" t="inlineStr">
        <is>
          <t>16-22 okt</t>
        </is>
      </c>
      <c r="V12" s="453" t="inlineStr">
        <is>
          <t>23-29 okt</t>
        </is>
      </c>
      <c r="W12" s="454" t="inlineStr">
        <is>
          <t>30 okt-5 nov</t>
        </is>
      </c>
      <c r="X12" s="451" t="inlineStr">
        <is>
          <t>6-12 nov</t>
        </is>
      </c>
      <c r="Y12" s="451" t="inlineStr">
        <is>
          <t>13-19 nov</t>
        </is>
      </c>
      <c r="Z12" s="451" t="inlineStr">
        <is>
          <t>20-26 nov</t>
        </is>
      </c>
      <c r="AA12" s="453" t="inlineStr">
        <is>
          <t>27 nov-3 des</t>
        </is>
      </c>
      <c r="AB12" s="747" t="n"/>
    </row>
    <row r="13" ht="23.45" customHeight="1">
      <c r="A13" s="307" t="n"/>
      <c r="B13" s="308" t="n"/>
      <c r="C13" s="309" t="n"/>
      <c r="D13" s="309" t="n"/>
      <c r="E13" s="310" t="n"/>
      <c r="F13" s="310" t="n"/>
      <c r="G13" s="311" t="n"/>
      <c r="H13" s="312" t="n"/>
      <c r="I13" s="313" t="n"/>
      <c r="J13" s="314" t="n"/>
      <c r="K13" s="315" t="n"/>
      <c r="L13" s="315" t="n"/>
      <c r="M13" s="316" t="n"/>
      <c r="N13" s="317" t="n"/>
      <c r="O13" s="318" t="n"/>
      <c r="P13" s="318" t="n"/>
      <c r="Q13" s="319" t="n"/>
      <c r="R13" s="317" t="n"/>
      <c r="S13" s="318" t="n"/>
      <c r="T13" s="318" t="n"/>
      <c r="U13" s="318" t="n"/>
      <c r="V13" s="319" t="n"/>
      <c r="W13" s="442" t="n"/>
      <c r="X13" s="318" t="n"/>
      <c r="Y13" s="318" t="n"/>
      <c r="Z13" s="318" t="n"/>
      <c r="AA13" s="319" t="n"/>
      <c r="AB13" s="436" t="n"/>
      <c r="AC13" s="320" t="n"/>
    </row>
    <row r="14" ht="23.45" customFormat="1" customHeight="1" s="298">
      <c r="A14" s="321" t="inlineStr">
        <is>
          <t>I</t>
        </is>
      </c>
      <c r="B14" s="322" t="inlineStr">
        <is>
          <t>PEKERJAAN PERSIAPAN</t>
        </is>
      </c>
      <c r="C14" s="323" t="n"/>
      <c r="D14" s="323" t="n"/>
      <c r="E14" s="324" t="n"/>
      <c r="F14" s="324" t="n"/>
      <c r="G14" s="325" t="n"/>
      <c r="H14" s="748" t="n"/>
      <c r="I14" s="327" t="n"/>
      <c r="J14" s="328" t="n"/>
      <c r="K14" s="329" t="n"/>
      <c r="L14" s="329" t="n"/>
      <c r="M14" s="330" t="n"/>
      <c r="N14" s="328" t="n"/>
      <c r="O14" s="329" t="n"/>
      <c r="P14" s="329" t="n"/>
      <c r="Q14" s="331" t="n"/>
      <c r="R14" s="328" t="n"/>
      <c r="S14" s="329" t="n"/>
      <c r="T14" s="329" t="n"/>
      <c r="U14" s="329" t="n"/>
      <c r="V14" s="331" t="n"/>
      <c r="W14" s="443" t="n"/>
      <c r="X14" s="329" t="n"/>
      <c r="Y14" s="329" t="n"/>
      <c r="Z14" s="329" t="n"/>
      <c r="AA14" s="340" t="n"/>
      <c r="AB14" s="437" t="n"/>
      <c r="AC14" s="332" t="n"/>
    </row>
    <row r="15" ht="23.45" customFormat="1" customHeight="1" s="298">
      <c r="A15" s="321" t="inlineStr">
        <is>
          <t>A</t>
        </is>
      </c>
      <c r="B15" s="322" t="inlineStr">
        <is>
          <t>PEKERJAAN PERSIAPAN</t>
        </is>
      </c>
      <c r="C15" s="323" t="n"/>
      <c r="D15" s="323" t="n"/>
      <c r="E15" s="324" t="n"/>
      <c r="F15" s="324" t="n"/>
      <c r="G15" s="325" t="n"/>
      <c r="H15" s="748" t="n"/>
      <c r="I15" s="327" t="n"/>
      <c r="J15" s="328" t="n"/>
      <c r="K15" s="329" t="n"/>
      <c r="L15" s="329" t="n"/>
      <c r="M15" s="330" t="n"/>
      <c r="N15" s="328" t="n"/>
      <c r="O15" s="329" t="n"/>
      <c r="P15" s="329" t="n"/>
      <c r="Q15" s="331" t="n"/>
      <c r="R15" s="328" t="n"/>
      <c r="S15" s="329" t="n"/>
      <c r="T15" s="329" t="n"/>
      <c r="U15" s="329" t="n"/>
      <c r="V15" s="331" t="n"/>
      <c r="W15" s="443" t="n"/>
      <c r="X15" s="329" t="n"/>
      <c r="Y15" s="329" t="n"/>
      <c r="Z15" s="329" t="n"/>
      <c r="AA15" s="331" t="n"/>
      <c r="AB15" s="438" t="n"/>
      <c r="AC15" s="749" t="n"/>
    </row>
    <row r="16" ht="23.45" customFormat="1" customHeight="1" s="298">
      <c r="A16" s="321" t="n"/>
      <c r="B16" s="334" t="inlineStr">
        <is>
          <t>a.1</t>
        </is>
      </c>
      <c r="C16" s="323" t="inlineStr">
        <is>
          <t>Direksi Kit Kelas 3</t>
        </is>
      </c>
      <c r="D16" s="323" t="n"/>
      <c r="E16" s="324" t="n"/>
      <c r="F16" s="324" t="n"/>
      <c r="G16" s="335" t="n"/>
      <c r="H16" s="336" t="n">
        <v>10.6353826713559</v>
      </c>
      <c r="I16" s="327" t="inlineStr">
        <is>
          <t>RENCANA</t>
        </is>
      </c>
      <c r="J16" s="328" t="n"/>
      <c r="K16" s="329" t="n"/>
      <c r="L16" s="329" t="n"/>
      <c r="M16" s="330" t="n"/>
      <c r="N16" s="328" t="n"/>
      <c r="O16" s="329" t="n"/>
      <c r="P16" s="329" t="n"/>
      <c r="Q16" s="331">
        <f>H16/11</f>
        <v/>
      </c>
      <c r="R16" s="328">
        <f>Q16</f>
        <v/>
      </c>
      <c r="S16" s="329">
        <f>R16</f>
        <v/>
      </c>
      <c r="T16" s="329">
        <f>S16</f>
        <v/>
      </c>
      <c r="U16" s="329">
        <f>T16</f>
        <v/>
      </c>
      <c r="V16" s="331">
        <f>U16</f>
        <v/>
      </c>
      <c r="W16" s="443">
        <f>V16</f>
        <v/>
      </c>
      <c r="X16" s="329">
        <f>W16</f>
        <v/>
      </c>
      <c r="Y16" s="329">
        <f>X16</f>
        <v/>
      </c>
      <c r="Z16" s="329">
        <f>Y16</f>
        <v/>
      </c>
      <c r="AA16" s="331">
        <f>Z16</f>
        <v/>
      </c>
      <c r="AB16" s="439" t="n"/>
      <c r="AC16" s="750" t="n"/>
    </row>
    <row r="17" ht="23.45" customFormat="1" customHeight="1" s="298">
      <c r="A17" s="321" t="inlineStr">
        <is>
          <t>B</t>
        </is>
      </c>
      <c r="B17" s="322" t="inlineStr">
        <is>
          <t>PERALATAN PENDUKUNG</t>
        </is>
      </c>
      <c r="C17" s="323" t="n"/>
      <c r="D17" s="323" t="n"/>
      <c r="E17" s="323" t="n"/>
      <c r="F17" s="323" t="n"/>
      <c r="G17" s="338" t="n"/>
      <c r="H17" s="336" t="n"/>
      <c r="I17" s="327" t="n"/>
      <c r="J17" s="328" t="n"/>
      <c r="K17" s="329" t="n"/>
      <c r="L17" s="329" t="n"/>
      <c r="M17" s="330" t="n"/>
      <c r="N17" s="328" t="n"/>
      <c r="O17" s="329" t="n"/>
      <c r="P17" s="329" t="n"/>
      <c r="Q17" s="331" t="n"/>
      <c r="R17" s="328" t="n"/>
      <c r="S17" s="329" t="n"/>
      <c r="T17" s="329" t="n"/>
      <c r="U17" s="329" t="n"/>
      <c r="V17" s="331" t="n"/>
      <c r="W17" s="443" t="n"/>
      <c r="X17" s="329" t="n"/>
      <c r="Y17" s="329" t="n"/>
      <c r="Z17" s="329" t="n"/>
      <c r="AA17" s="331" t="n"/>
      <c r="AB17" s="437" t="n"/>
      <c r="AC17" s="749" t="n"/>
    </row>
    <row r="18" ht="23.45" customFormat="1" customHeight="1" s="298">
      <c r="A18" s="321" t="n"/>
      <c r="B18" s="334" t="inlineStr">
        <is>
          <t>b.1</t>
        </is>
      </c>
      <c r="C18" s="323" t="inlineStr">
        <is>
          <t>Sewa Blower Explossion Proof Portable</t>
        </is>
      </c>
      <c r="D18" s="323" t="n"/>
      <c r="E18" s="323" t="n"/>
      <c r="F18" s="323" t="n"/>
      <c r="G18" s="339" t="n"/>
      <c r="H18" s="336" t="n">
        <v>0.3052545424069126</v>
      </c>
      <c r="I18" s="327" t="inlineStr">
        <is>
          <t>RENCANA</t>
        </is>
      </c>
      <c r="J18" s="328" t="n"/>
      <c r="K18" s="329" t="n"/>
      <c r="L18" s="329" t="n"/>
      <c r="M18" s="330" t="n"/>
      <c r="N18" s="328" t="n"/>
      <c r="O18" s="329" t="n"/>
      <c r="P18" s="329" t="n"/>
      <c r="Q18" s="331" t="n"/>
      <c r="R18" s="328">
        <f>H18/5</f>
        <v/>
      </c>
      <c r="S18" s="329">
        <f>R18</f>
        <v/>
      </c>
      <c r="T18" s="329">
        <f>S18</f>
        <v/>
      </c>
      <c r="U18" s="329">
        <f>T18</f>
        <v/>
      </c>
      <c r="V18" s="331">
        <f>U18</f>
        <v/>
      </c>
      <c r="W18" s="443" t="n"/>
      <c r="X18" s="329" t="n"/>
      <c r="Y18" s="329" t="n"/>
      <c r="Z18" s="329" t="n"/>
      <c r="AA18" s="331" t="n"/>
      <c r="AB18" s="440" t="n"/>
      <c r="AC18" s="750" t="n"/>
    </row>
    <row r="19" ht="23.45" customFormat="1" customHeight="1" s="298">
      <c r="A19" s="321" t="n"/>
      <c r="B19" s="334" t="inlineStr">
        <is>
          <t>b.2</t>
        </is>
      </c>
      <c r="C19" s="323" t="inlineStr">
        <is>
          <t>Sewa Gas Tester</t>
        </is>
      </c>
      <c r="D19" s="323" t="n"/>
      <c r="E19" s="323" t="n"/>
      <c r="F19" s="323" t="n"/>
      <c r="G19" s="339" t="n"/>
      <c r="H19" s="336" t="n">
        <v>1.820759971344424</v>
      </c>
      <c r="I19" s="327" t="inlineStr">
        <is>
          <t>RENCANA</t>
        </is>
      </c>
      <c r="J19" s="328" t="n"/>
      <c r="K19" s="329" t="n"/>
      <c r="L19" s="329" t="n"/>
      <c r="M19" s="330" t="n"/>
      <c r="N19" s="328" t="n"/>
      <c r="O19" s="329" t="n"/>
      <c r="P19" s="329" t="n"/>
      <c r="Q19" s="331">
        <f>H19/7</f>
        <v/>
      </c>
      <c r="R19" s="328">
        <f>Q19</f>
        <v/>
      </c>
      <c r="S19" s="329">
        <f>R19</f>
        <v/>
      </c>
      <c r="T19" s="329">
        <f>S19</f>
        <v/>
      </c>
      <c r="U19" s="329">
        <f>T19</f>
        <v/>
      </c>
      <c r="V19" s="331">
        <f>U19</f>
        <v/>
      </c>
      <c r="W19" s="443">
        <f>V19</f>
        <v/>
      </c>
      <c r="X19" s="329" t="n"/>
      <c r="Y19" s="329" t="n"/>
      <c r="Z19" s="329" t="n"/>
      <c r="AA19" s="340" t="n"/>
      <c r="AB19" s="440" t="n"/>
      <c r="AC19" s="750" t="n"/>
    </row>
    <row r="20" ht="23.45" customFormat="1" customHeight="1" s="298">
      <c r="A20" s="321" t="n"/>
      <c r="B20" s="334" t="inlineStr">
        <is>
          <t>b.3</t>
        </is>
      </c>
      <c r="C20" s="323" t="inlineStr">
        <is>
          <t>Sewa Apar Powder 9 Kg</t>
        </is>
      </c>
      <c r="D20" s="323" t="n"/>
      <c r="E20" s="323" t="n"/>
      <c r="F20" s="323" t="n"/>
      <c r="G20" s="339" t="n"/>
      <c r="H20" s="336" t="n">
        <v>0.1305450545492229</v>
      </c>
      <c r="I20" s="327" t="inlineStr">
        <is>
          <t>RENCANA</t>
        </is>
      </c>
      <c r="J20" s="328" t="n"/>
      <c r="K20" s="329" t="n"/>
      <c r="L20" s="329" t="n"/>
      <c r="M20" s="330" t="n"/>
      <c r="N20" s="328" t="n"/>
      <c r="O20" s="329" t="n"/>
      <c r="P20" s="329" t="n"/>
      <c r="Q20" s="331">
        <f>H20/7</f>
        <v/>
      </c>
      <c r="R20" s="341">
        <f>Q20</f>
        <v/>
      </c>
      <c r="S20" s="342">
        <f>R20</f>
        <v/>
      </c>
      <c r="T20" s="342">
        <f>S20</f>
        <v/>
      </c>
      <c r="U20" s="342">
        <f>T20</f>
        <v/>
      </c>
      <c r="V20" s="331">
        <f>U20</f>
        <v/>
      </c>
      <c r="W20" s="443">
        <f>V20</f>
        <v/>
      </c>
      <c r="X20" s="329" t="n"/>
      <c r="Y20" s="329" t="n"/>
      <c r="Z20" s="329" t="n"/>
      <c r="AA20" s="331" t="n"/>
      <c r="AB20" s="440" t="n"/>
      <c r="AC20" s="750" t="n"/>
    </row>
    <row r="21" ht="23.45" customFormat="1" customHeight="1" s="298">
      <c r="A21" s="321" t="n"/>
      <c r="B21" s="334" t="inlineStr">
        <is>
          <t>b.4</t>
        </is>
      </c>
      <c r="C21" s="323" t="inlineStr">
        <is>
          <t xml:space="preserve">Sewa Kompresor </t>
        </is>
      </c>
      <c r="D21" s="323" t="n"/>
      <c r="E21" s="323" t="n"/>
      <c r="F21" s="323" t="n"/>
      <c r="G21" s="339" t="n"/>
      <c r="H21" s="336" t="n">
        <v>2.632264960931246</v>
      </c>
      <c r="I21" s="327" t="inlineStr">
        <is>
          <t>RENCANA</t>
        </is>
      </c>
      <c r="J21" s="328" t="n"/>
      <c r="K21" s="329" t="n"/>
      <c r="L21" s="329" t="n"/>
      <c r="M21" s="330" t="n"/>
      <c r="N21" s="328" t="n"/>
      <c r="O21" s="329" t="n"/>
      <c r="P21" s="329" t="n"/>
      <c r="Q21" s="331" t="n"/>
      <c r="R21" s="328">
        <f>H21/6</f>
        <v/>
      </c>
      <c r="S21" s="329">
        <f>R21</f>
        <v/>
      </c>
      <c r="T21" s="329">
        <f>S21</f>
        <v/>
      </c>
      <c r="U21" s="329">
        <f>T21</f>
        <v/>
      </c>
      <c r="V21" s="331">
        <f>U21</f>
        <v/>
      </c>
      <c r="W21" s="443">
        <f>V21</f>
        <v/>
      </c>
      <c r="X21" s="329" t="n"/>
      <c r="Y21" s="329" t="n"/>
      <c r="Z21" s="329" t="n"/>
      <c r="AA21" s="331" t="n"/>
      <c r="AB21" s="440" t="n"/>
      <c r="AC21" s="750" t="n"/>
    </row>
    <row r="22" ht="23.45" customFormat="1" customHeight="1" s="298">
      <c r="A22" s="321" t="n"/>
      <c r="B22" s="334" t="n"/>
      <c r="C22" s="323" t="n"/>
      <c r="D22" s="323" t="n"/>
      <c r="E22" s="323" t="n"/>
      <c r="F22" s="323" t="n"/>
      <c r="G22" s="339" t="n"/>
      <c r="H22" s="336" t="n"/>
      <c r="I22" s="327" t="n"/>
      <c r="J22" s="328" t="n"/>
      <c r="K22" s="329" t="n"/>
      <c r="L22" s="329" t="n"/>
      <c r="M22" s="330" t="n"/>
      <c r="N22" s="328" t="n"/>
      <c r="O22" s="329" t="n"/>
      <c r="P22" s="329" t="n"/>
      <c r="Q22" s="331" t="n"/>
      <c r="R22" s="328" t="n"/>
      <c r="S22" s="329" t="n"/>
      <c r="T22" s="329" t="n"/>
      <c r="U22" s="329" t="n"/>
      <c r="V22" s="331" t="n"/>
      <c r="W22" s="443" t="n"/>
      <c r="X22" s="329" t="n"/>
      <c r="Y22" s="329" t="n"/>
      <c r="Z22" s="329" t="n"/>
      <c r="AA22" s="331" t="n"/>
      <c r="AB22" s="440" t="n"/>
      <c r="AC22" s="750" t="n"/>
    </row>
    <row r="23" ht="23.45" customFormat="1" customHeight="1" s="298">
      <c r="A23" s="321" t="inlineStr">
        <is>
          <t>II</t>
        </is>
      </c>
      <c r="B23" s="322" t="inlineStr">
        <is>
          <t>PEKERJAAN ENGINEERING DAN PROJECT MANAGEMENT</t>
        </is>
      </c>
      <c r="C23" s="323" t="n"/>
      <c r="D23" s="323" t="n"/>
      <c r="E23" s="323" t="n"/>
      <c r="F23" s="323" t="n"/>
      <c r="G23" s="339" t="n"/>
      <c r="H23" s="336" t="n"/>
      <c r="I23" s="327" t="n"/>
      <c r="J23" s="328" t="n"/>
      <c r="K23" s="329" t="n"/>
      <c r="L23" s="329" t="n"/>
      <c r="M23" s="330" t="n"/>
      <c r="N23" s="328" t="n"/>
      <c r="O23" s="329" t="n"/>
      <c r="P23" s="329" t="n"/>
      <c r="Q23" s="331" t="n"/>
      <c r="R23" s="328" t="n"/>
      <c r="S23" s="329" t="n"/>
      <c r="T23" s="329" t="n"/>
      <c r="U23" s="329" t="n"/>
      <c r="V23" s="331" t="n"/>
      <c r="W23" s="443" t="n"/>
      <c r="X23" s="329" t="n"/>
      <c r="Y23" s="329" t="n"/>
      <c r="Z23" s="329" t="n"/>
      <c r="AA23" s="331" t="n"/>
      <c r="AB23" s="440" t="n"/>
      <c r="AC23" s="750" t="n"/>
    </row>
    <row r="24" ht="23.45" customFormat="1" customHeight="1" s="298">
      <c r="A24" s="321" t="inlineStr">
        <is>
          <t>A</t>
        </is>
      </c>
      <c r="B24" s="322" t="inlineStr">
        <is>
          <t>Pemenuhan Dokumen Project &amp; Engineering</t>
        </is>
      </c>
      <c r="C24" s="323" t="n"/>
      <c r="D24" s="323" t="n"/>
      <c r="E24" s="323" t="n"/>
      <c r="F24" s="323" t="n"/>
      <c r="G24" s="339" t="n"/>
      <c r="H24" s="336" t="n"/>
      <c r="I24" s="327" t="n"/>
      <c r="J24" s="328" t="n"/>
      <c r="K24" s="329" t="n"/>
      <c r="L24" s="329" t="n"/>
      <c r="M24" s="330" t="n"/>
      <c r="N24" s="328" t="n"/>
      <c r="O24" s="329" t="n"/>
      <c r="P24" s="329" t="n"/>
      <c r="Q24" s="331" t="n"/>
      <c r="R24" s="328" t="n"/>
      <c r="S24" s="329" t="n"/>
      <c r="T24" s="329" t="n"/>
      <c r="U24" s="329" t="n"/>
      <c r="V24" s="331" t="n"/>
      <c r="W24" s="443" t="n"/>
      <c r="X24" s="329" t="n"/>
      <c r="Y24" s="329" t="n"/>
      <c r="Z24" s="329" t="n"/>
      <c r="AA24" s="340" t="n"/>
      <c r="AB24" s="440" t="n"/>
      <c r="AC24" s="750" t="n"/>
    </row>
    <row r="25" ht="23.45" customFormat="1" customHeight="1" s="298">
      <c r="A25" s="321" t="n"/>
      <c r="B25" s="334" t="inlineStr">
        <is>
          <t>a.1</t>
        </is>
      </c>
      <c r="C25" s="323" t="inlineStr">
        <is>
          <t>Laporan Teknis dan HSSE Bulanan (1 set/project)</t>
        </is>
      </c>
      <c r="D25" s="323" t="n"/>
      <c r="E25" s="323" t="n"/>
      <c r="F25" s="323" t="n"/>
      <c r="G25" s="339" t="n"/>
      <c r="H25" s="336" t="n">
        <v>1.006463722367569</v>
      </c>
      <c r="I25" s="327" t="inlineStr">
        <is>
          <t>RENCANA</t>
        </is>
      </c>
      <c r="J25" s="328" t="n"/>
      <c r="K25" s="329" t="n"/>
      <c r="L25" s="329" t="n"/>
      <c r="M25" s="330">
        <f>H25/4</f>
        <v/>
      </c>
      <c r="N25" s="328" t="n"/>
      <c r="O25" s="329" t="n"/>
      <c r="P25" s="329" t="n"/>
      <c r="Q25" s="331">
        <f>M25</f>
        <v/>
      </c>
      <c r="R25" s="328" t="n"/>
      <c r="S25" s="329" t="n"/>
      <c r="T25" s="329" t="n"/>
      <c r="U25" s="329" t="n"/>
      <c r="V25" s="331">
        <f>Q25</f>
        <v/>
      </c>
      <c r="W25" s="443" t="n"/>
      <c r="X25" s="329" t="n"/>
      <c r="Y25" s="329" t="n"/>
      <c r="Z25" s="329" t="n"/>
      <c r="AA25" s="331">
        <f>V25</f>
        <v/>
      </c>
      <c r="AB25" s="440" t="n"/>
      <c r="AC25" s="750" t="n"/>
    </row>
    <row r="26" ht="23.45" customFormat="1" customHeight="1" s="298">
      <c r="A26" s="321" t="n"/>
      <c r="B26" s="334" t="inlineStr">
        <is>
          <t>a.2</t>
        </is>
      </c>
      <c r="C26" s="323" t="inlineStr">
        <is>
          <t>MCU personil</t>
        </is>
      </c>
      <c r="D26" s="323" t="n"/>
      <c r="E26" s="323" t="n"/>
      <c r="F26" s="323" t="n"/>
      <c r="G26" s="339" t="n"/>
      <c r="H26" s="336" t="n">
        <v>1.493323773667508</v>
      </c>
      <c r="I26" s="327" t="inlineStr">
        <is>
          <t>RENCANA</t>
        </is>
      </c>
      <c r="J26" s="328" t="n"/>
      <c r="K26" s="329" t="n"/>
      <c r="L26" s="329" t="n"/>
      <c r="M26" s="330">
        <f>H26/4</f>
        <v/>
      </c>
      <c r="N26" s="328">
        <f>M26</f>
        <v/>
      </c>
      <c r="O26" s="329">
        <f>N26</f>
        <v/>
      </c>
      <c r="P26" s="329">
        <f>O26</f>
        <v/>
      </c>
      <c r="Q26" s="331" t="n"/>
      <c r="R26" s="328" t="n"/>
      <c r="S26" s="329" t="n"/>
      <c r="T26" s="329" t="n"/>
      <c r="U26" s="329" t="n"/>
      <c r="V26" s="331" t="n"/>
      <c r="W26" s="443" t="n"/>
      <c r="X26" s="329" t="n"/>
      <c r="Y26" s="329" t="n"/>
      <c r="Z26" s="329" t="n"/>
      <c r="AA26" s="331" t="n"/>
      <c r="AB26" s="440" t="n"/>
      <c r="AC26" s="750" t="n"/>
    </row>
    <row r="27" ht="23.45" customFormat="1" customHeight="1" s="298">
      <c r="A27" s="321" t="n"/>
      <c r="B27" s="334" t="inlineStr">
        <is>
          <t>a.3</t>
        </is>
      </c>
      <c r="C27" s="323" t="inlineStr">
        <is>
          <t>Inspection Report</t>
        </is>
      </c>
      <c r="D27" s="323" t="n"/>
      <c r="E27" s="323" t="n"/>
      <c r="F27" s="323" t="n"/>
      <c r="G27" s="339" t="n"/>
      <c r="H27" s="336" t="n">
        <v>0.5032318611837847</v>
      </c>
      <c r="I27" s="327" t="inlineStr">
        <is>
          <t>RENCANA</t>
        </is>
      </c>
      <c r="J27" s="328" t="n"/>
      <c r="K27" s="329" t="n"/>
      <c r="L27" s="329" t="n"/>
      <c r="M27" s="330" t="n"/>
      <c r="N27" s="328" t="n"/>
      <c r="O27" s="329" t="n"/>
      <c r="P27" s="329" t="n"/>
      <c r="Q27" s="331" t="n"/>
      <c r="R27" s="328" t="n"/>
      <c r="S27" s="329" t="n"/>
      <c r="T27" s="329" t="n"/>
      <c r="U27" s="329" t="n"/>
      <c r="V27" s="331" t="n"/>
      <c r="W27" s="443" t="n"/>
      <c r="X27" s="329" t="n"/>
      <c r="Y27" s="329" t="n"/>
      <c r="Z27" s="329">
        <f>H27</f>
        <v/>
      </c>
      <c r="AA27" s="331" t="n"/>
      <c r="AB27" s="440" t="n"/>
      <c r="AC27" s="750" t="n"/>
    </row>
    <row r="28" ht="23.45" customFormat="1" customHeight="1" s="298">
      <c r="A28" s="321" t="inlineStr">
        <is>
          <t>B</t>
        </is>
      </c>
      <c r="B28" s="322" t="inlineStr">
        <is>
          <t>Project Management (Kualifikasi dan Jumlah Personil sesuai dengan Kriteria Evaluasi Teknis dalam RKS)</t>
        </is>
      </c>
      <c r="C28" s="323" t="n"/>
      <c r="D28" s="323" t="n"/>
      <c r="E28" s="323" t="n"/>
      <c r="F28" s="323" t="n"/>
      <c r="G28" s="339" t="n"/>
      <c r="H28" s="336" t="n"/>
      <c r="I28" s="327" t="inlineStr">
        <is>
          <t>RENCANA</t>
        </is>
      </c>
      <c r="J28" s="328" t="n"/>
      <c r="K28" s="329" t="n"/>
      <c r="L28" s="329" t="n"/>
      <c r="M28" s="330" t="n"/>
      <c r="N28" s="328" t="n"/>
      <c r="O28" s="329" t="n"/>
      <c r="P28" s="329" t="n"/>
      <c r="Q28" s="331" t="n"/>
      <c r="R28" s="341" t="n"/>
      <c r="S28" s="329" t="n"/>
      <c r="T28" s="329" t="n"/>
      <c r="U28" s="329" t="n"/>
      <c r="V28" s="331" t="n"/>
      <c r="W28" s="443" t="n"/>
      <c r="X28" s="329" t="n"/>
      <c r="Y28" s="329" t="n"/>
      <c r="Z28" s="329" t="n"/>
      <c r="AA28" s="331" t="n"/>
      <c r="AB28" s="440" t="n"/>
      <c r="AC28" s="750" t="n"/>
    </row>
    <row r="29" ht="23.45" customFormat="1" customHeight="1" s="298">
      <c r="A29" s="321" t="n"/>
      <c r="B29" s="334" t="inlineStr">
        <is>
          <t>b.1</t>
        </is>
      </c>
      <c r="C29" s="323" t="inlineStr">
        <is>
          <t>Safetyman</t>
        </is>
      </c>
      <c r="D29" s="323" t="n"/>
      <c r="E29" s="323" t="n"/>
      <c r="F29" s="323" t="n"/>
      <c r="G29" s="339" t="n"/>
      <c r="H29" s="336" t="n">
        <v>13.079465755237</v>
      </c>
      <c r="I29" s="327" t="n"/>
      <c r="J29" s="328" t="n"/>
      <c r="K29" s="329" t="n"/>
      <c r="L29" s="329" t="n"/>
      <c r="M29" s="330" t="n"/>
      <c r="N29" s="328" t="n"/>
      <c r="O29" s="329" t="n"/>
      <c r="P29" s="329" t="n"/>
      <c r="Q29" s="331">
        <f>H29/11</f>
        <v/>
      </c>
      <c r="R29" s="328">
        <f>Q29</f>
        <v/>
      </c>
      <c r="S29" s="329">
        <f>R29</f>
        <v/>
      </c>
      <c r="T29" s="329">
        <f>S29</f>
        <v/>
      </c>
      <c r="U29" s="329">
        <f>T29</f>
        <v/>
      </c>
      <c r="V29" s="331">
        <f>U29</f>
        <v/>
      </c>
      <c r="W29" s="443">
        <f>V29</f>
        <v/>
      </c>
      <c r="X29" s="329">
        <f>W29</f>
        <v/>
      </c>
      <c r="Y29" s="329">
        <f>X29</f>
        <v/>
      </c>
      <c r="Z29" s="329">
        <f>Y29</f>
        <v/>
      </c>
      <c r="AA29" s="331">
        <f>Z29</f>
        <v/>
      </c>
      <c r="AB29" s="440" t="n"/>
      <c r="AC29" s="750" t="n"/>
    </row>
    <row r="30" ht="23.45" customFormat="1" customHeight="1" s="298">
      <c r="A30" s="321" t="n"/>
      <c r="B30" s="343" t="n"/>
      <c r="C30" s="323" t="n"/>
      <c r="D30" s="323" t="n"/>
      <c r="E30" s="323" t="n"/>
      <c r="F30" s="323" t="n"/>
      <c r="G30" s="344" t="n"/>
      <c r="H30" s="336" t="n"/>
      <c r="I30" s="327" t="n"/>
      <c r="J30" s="328" t="n"/>
      <c r="K30" s="329" t="n"/>
      <c r="L30" s="329" t="n"/>
      <c r="M30" s="330" t="n"/>
      <c r="N30" s="328" t="n"/>
      <c r="O30" s="329" t="n"/>
      <c r="P30" s="329" t="n"/>
      <c r="Q30" s="331" t="n"/>
      <c r="R30" s="328" t="n"/>
      <c r="S30" s="329" t="n"/>
      <c r="T30" s="329" t="n"/>
      <c r="U30" s="329" t="n"/>
      <c r="V30" s="331" t="n"/>
      <c r="W30" s="443" t="n"/>
      <c r="X30" s="329" t="n"/>
      <c r="Y30" s="329" t="n"/>
      <c r="Z30" s="329" t="n"/>
      <c r="AA30" s="331" t="n"/>
      <c r="AB30" s="440" t="n"/>
      <c r="AC30" s="750" t="n"/>
    </row>
    <row r="31" ht="23.45" customFormat="1" customHeight="1" s="298">
      <c r="A31" s="321" t="n"/>
      <c r="B31" s="322" t="inlineStr">
        <is>
          <t>INFO TANK CLEANNING TANGKI PENDAM NO. 03, 04, 02 &amp; 01 ( AVTUR )</t>
        </is>
      </c>
      <c r="C31" s="323" t="n"/>
      <c r="D31" s="323" t="n"/>
      <c r="E31" s="323" t="n"/>
      <c r="F31" s="323" t="n"/>
      <c r="G31" s="344" t="n"/>
      <c r="H31" s="336" t="n"/>
      <c r="I31" s="327" t="n"/>
      <c r="J31" s="328" t="n"/>
      <c r="K31" s="329" t="n"/>
      <c r="L31" s="329" t="n"/>
      <c r="M31" s="330" t="n"/>
      <c r="N31" s="328" t="n"/>
      <c r="O31" s="329" t="n"/>
      <c r="P31" s="329" t="n"/>
      <c r="Q31" s="331" t="n"/>
      <c r="R31" s="328" t="n"/>
      <c r="S31" s="329" t="n"/>
      <c r="T31" s="329" t="n"/>
      <c r="U31" s="329" t="n"/>
      <c r="V31" s="331" t="n"/>
      <c r="W31" s="443" t="n"/>
      <c r="X31" s="329" t="n"/>
      <c r="Y31" s="329" t="n"/>
      <c r="Z31" s="329" t="n"/>
      <c r="AA31" s="331" t="n"/>
      <c r="AB31" s="440" t="n"/>
      <c r="AC31" s="750" t="n"/>
    </row>
    <row r="32" ht="23.45" customFormat="1" customHeight="1" s="298">
      <c r="A32" s="321" t="n"/>
      <c r="B32" s="322" t="inlineStr">
        <is>
          <t>Kapasitas Tangki (KL)</t>
        </is>
      </c>
      <c r="C32" s="323" t="n"/>
      <c r="D32" s="323" t="n"/>
      <c r="E32" s="323" t="n"/>
      <c r="F32" s="323" t="n"/>
      <c r="G32" s="345" t="inlineStr">
        <is>
          <t>: 50 KL</t>
        </is>
      </c>
      <c r="H32" s="336" t="n"/>
      <c r="I32" s="327" t="n"/>
      <c r="J32" s="328" t="n"/>
      <c r="K32" s="329" t="n"/>
      <c r="L32" s="329" t="n"/>
      <c r="M32" s="330" t="n"/>
      <c r="N32" s="328" t="n"/>
      <c r="O32" s="329" t="n"/>
      <c r="P32" s="329" t="n"/>
      <c r="Q32" s="331" t="n"/>
      <c r="R32" s="328" t="n"/>
      <c r="S32" s="329" t="n"/>
      <c r="T32" s="329" t="n"/>
      <c r="U32" s="329" t="n"/>
      <c r="V32" s="331" t="n"/>
      <c r="W32" s="443" t="n"/>
      <c r="X32" s="329" t="n"/>
      <c r="Y32" s="329" t="n"/>
      <c r="Z32" s="329" t="n"/>
      <c r="AA32" s="331" t="n"/>
      <c r="AB32" s="440" t="n"/>
      <c r="AC32" s="750" t="n"/>
    </row>
    <row r="33" ht="23.45" customFormat="1" customHeight="1" s="298">
      <c r="A33" s="321" t="n"/>
      <c r="B33" s="322" t="inlineStr">
        <is>
          <t>Dia. X Tinggi Tangki (M)</t>
        </is>
      </c>
      <c r="C33" s="346" t="n"/>
      <c r="D33" s="323" t="n"/>
      <c r="E33" s="323" t="n"/>
      <c r="F33" s="323" t="n"/>
      <c r="G33" s="345" t="inlineStr">
        <is>
          <t>: 9,2 x 2,7 M</t>
        </is>
      </c>
      <c r="H33" s="336" t="n"/>
      <c r="I33" s="327" t="n"/>
      <c r="J33" s="328" t="n"/>
      <c r="K33" s="329" t="n"/>
      <c r="L33" s="329" t="n"/>
      <c r="M33" s="330" t="n"/>
      <c r="N33" s="328" t="n"/>
      <c r="O33" s="329" t="n"/>
      <c r="P33" s="329" t="n"/>
      <c r="Q33" s="331" t="n"/>
      <c r="R33" s="328" t="n"/>
      <c r="S33" s="329" t="n"/>
      <c r="T33" s="329" t="n"/>
      <c r="U33" s="329" t="n"/>
      <c r="V33" s="331" t="n"/>
      <c r="W33" s="443" t="n"/>
      <c r="X33" s="329" t="n"/>
      <c r="Y33" s="329" t="n"/>
      <c r="Z33" s="329" t="n"/>
      <c r="AA33" s="331" t="n"/>
      <c r="AB33" s="440" t="n"/>
      <c r="AC33" s="750" t="n"/>
    </row>
    <row r="34" ht="23.45" customFormat="1" customHeight="1" s="298">
      <c r="A34" s="321" t="n"/>
      <c r="B34" s="322" t="n"/>
      <c r="C34" s="346" t="n"/>
      <c r="D34" s="323" t="n"/>
      <c r="E34" s="323" t="n"/>
      <c r="F34" s="323" t="n"/>
      <c r="G34" s="339" t="n"/>
      <c r="H34" s="336" t="n"/>
      <c r="I34" s="327" t="n"/>
      <c r="J34" s="328" t="n"/>
      <c r="K34" s="329" t="n"/>
      <c r="L34" s="329" t="n"/>
      <c r="M34" s="330" t="n"/>
      <c r="N34" s="328" t="n"/>
      <c r="O34" s="329" t="n"/>
      <c r="P34" s="329" t="n"/>
      <c r="Q34" s="331" t="n"/>
      <c r="R34" s="328" t="n"/>
      <c r="S34" s="329" t="n"/>
      <c r="T34" s="329" t="n"/>
      <c r="U34" s="329" t="n"/>
      <c r="V34" s="331" t="n"/>
      <c r="W34" s="443" t="n"/>
      <c r="X34" s="329" t="n"/>
      <c r="Y34" s="329" t="n"/>
      <c r="Z34" s="329" t="n"/>
      <c r="AA34" s="331" t="n"/>
      <c r="AB34" s="440" t="n"/>
      <c r="AC34" s="750" t="n"/>
    </row>
    <row r="35" ht="23.45" customFormat="1" customHeight="1" s="298">
      <c r="A35" s="321" t="inlineStr">
        <is>
          <t>III</t>
        </is>
      </c>
      <c r="B35" s="322" t="inlineStr">
        <is>
          <t>CLEANING TANGKI TIMBUN</t>
        </is>
      </c>
      <c r="C35" s="323" t="n"/>
      <c r="D35" s="323" t="n"/>
      <c r="E35" s="323" t="n"/>
      <c r="F35" s="323" t="n"/>
      <c r="G35" s="339" t="n"/>
      <c r="H35" s="336" t="n"/>
      <c r="I35" s="327" t="n"/>
      <c r="J35" s="328" t="n"/>
      <c r="K35" s="329" t="n"/>
      <c r="L35" s="329" t="n"/>
      <c r="M35" s="330" t="n"/>
      <c r="N35" s="328" t="n"/>
      <c r="O35" s="329" t="n"/>
      <c r="P35" s="329" t="n"/>
      <c r="Q35" s="331" t="n"/>
      <c r="R35" s="328" t="n"/>
      <c r="S35" s="329" t="n"/>
      <c r="T35" s="329" t="n"/>
      <c r="U35" s="329" t="n"/>
      <c r="V35" s="331" t="n"/>
      <c r="W35" s="443" t="n"/>
      <c r="X35" s="329" t="n"/>
      <c r="Y35" s="329" t="n"/>
      <c r="Z35" s="329" t="n"/>
      <c r="AA35" s="331" t="n"/>
      <c r="AB35" s="440" t="n"/>
      <c r="AC35" s="750" t="n"/>
    </row>
    <row r="36" ht="23.45" customFormat="1" customHeight="1" s="298">
      <c r="A36" s="321" t="inlineStr">
        <is>
          <t>A</t>
        </is>
      </c>
      <c r="B36" s="322" t="inlineStr">
        <is>
          <t>JASA</t>
        </is>
      </c>
      <c r="C36" s="323" t="n"/>
      <c r="D36" s="323" t="n"/>
      <c r="E36" s="323" t="n"/>
      <c r="F36" s="323" t="n"/>
      <c r="G36" s="339" t="n"/>
      <c r="H36" s="336" t="n"/>
      <c r="I36" s="327" t="n"/>
      <c r="J36" s="328" t="n"/>
      <c r="K36" s="329" t="n"/>
      <c r="L36" s="329" t="n"/>
      <c r="M36" s="330" t="n"/>
      <c r="N36" s="328" t="n"/>
      <c r="O36" s="329" t="n"/>
      <c r="P36" s="329" t="n"/>
      <c r="Q36" s="331" t="n"/>
      <c r="R36" s="328" t="n"/>
      <c r="S36" s="329" t="n"/>
      <c r="T36" s="329" t="n"/>
      <c r="U36" s="329" t="n"/>
      <c r="V36" s="331" t="n"/>
      <c r="W36" s="443" t="n"/>
      <c r="X36" s="329" t="n"/>
      <c r="Y36" s="329" t="n"/>
      <c r="Z36" s="329" t="n"/>
      <c r="AA36" s="331" t="n"/>
      <c r="AB36" s="440" t="n"/>
      <c r="AC36" s="750" t="n"/>
    </row>
    <row r="37" ht="23.45" customFormat="1" customHeight="1" s="298">
      <c r="A37" s="321" t="n"/>
      <c r="B37" s="334" t="inlineStr">
        <is>
          <t>b.1</t>
        </is>
      </c>
      <c r="C37" s="323" t="inlineStr">
        <is>
          <t>Pekerjaan Free Gas Tangki Timbun incl report</t>
        </is>
      </c>
      <c r="D37" s="323" t="n"/>
      <c r="E37" s="323" t="n"/>
      <c r="F37" s="323" t="n"/>
      <c r="G37" s="339" t="n"/>
      <c r="H37" s="336" t="n">
        <v>2.693785391448872</v>
      </c>
      <c r="I37" s="327" t="inlineStr">
        <is>
          <t>RENCANA</t>
        </is>
      </c>
      <c r="J37" s="328" t="n"/>
      <c r="K37" s="329" t="n"/>
      <c r="L37" s="329" t="n"/>
      <c r="M37" s="330" t="n"/>
      <c r="N37" s="328" t="n"/>
      <c r="O37" s="329" t="n"/>
      <c r="P37" s="329" t="n"/>
      <c r="Q37" s="331">
        <f>H37/5</f>
        <v/>
      </c>
      <c r="R37" s="328">
        <f>Q37</f>
        <v/>
      </c>
      <c r="S37" s="329">
        <f>Q37</f>
        <v/>
      </c>
      <c r="T37" s="329" t="n"/>
      <c r="U37" s="329">
        <f>S37</f>
        <v/>
      </c>
      <c r="V37" s="331" t="n"/>
      <c r="W37" s="443">
        <f>U37</f>
        <v/>
      </c>
      <c r="X37" s="329" t="n"/>
      <c r="Y37" s="329" t="n"/>
      <c r="Z37" s="329" t="n"/>
      <c r="AA37" s="331" t="n"/>
      <c r="AB37" s="440" t="n"/>
      <c r="AC37" s="750" t="n"/>
    </row>
    <row r="38" ht="23.45" customFormat="1" customHeight="1" s="298">
      <c r="A38" s="321" t="n"/>
      <c r="B38" s="334" t="inlineStr">
        <is>
          <t>b.2</t>
        </is>
      </c>
      <c r="C38" s="323" t="inlineStr">
        <is>
          <t>Drain Produk Isi Pipa Avtur / Pertalite / Pertamax / Px.Turbo / Solar / Fame / Dex / Dexlite dan lainnya selain MDO/MFO</t>
        </is>
      </c>
      <c r="D38" s="323" t="n"/>
      <c r="E38" s="323" t="n"/>
      <c r="F38" s="323" t="n"/>
      <c r="G38" s="339" t="n"/>
      <c r="H38" s="336" t="n">
        <v>3.720175082591874</v>
      </c>
      <c r="I38" s="327" t="inlineStr">
        <is>
          <t>RENCANA</t>
        </is>
      </c>
      <c r="J38" s="328" t="n"/>
      <c r="K38" s="329" t="n"/>
      <c r="L38" s="329" t="n"/>
      <c r="M38" s="330" t="n"/>
      <c r="N38" s="328" t="n"/>
      <c r="O38" s="329" t="n"/>
      <c r="P38" s="329" t="n"/>
      <c r="Q38" s="331" t="n"/>
      <c r="R38" s="328">
        <f>H38/4</f>
        <v/>
      </c>
      <c r="S38" s="329">
        <f>R38</f>
        <v/>
      </c>
      <c r="T38" s="329" t="n"/>
      <c r="U38" s="329">
        <f>S38</f>
        <v/>
      </c>
      <c r="V38" s="331" t="n"/>
      <c r="W38" s="443">
        <f>U38</f>
        <v/>
      </c>
      <c r="X38" s="329" t="n"/>
      <c r="Y38" s="329" t="n"/>
      <c r="Z38" s="329" t="n"/>
      <c r="AA38" s="331" t="n"/>
      <c r="AB38" s="440" t="n"/>
      <c r="AC38" s="750" t="n"/>
    </row>
    <row r="39" ht="23.45" customFormat="1" customHeight="1" s="298">
      <c r="A39" s="321" t="n"/>
      <c r="B39" s="334" t="inlineStr">
        <is>
          <t>b.3</t>
        </is>
      </c>
      <c r="C39" s="323" t="inlineStr">
        <is>
          <t xml:space="preserve">Pemindahan drum isi produk ex drain ke sumptank </t>
        </is>
      </c>
      <c r="D39" s="323" t="n"/>
      <c r="E39" s="323" t="n"/>
      <c r="F39" s="323" t="n"/>
      <c r="G39" s="339" t="n"/>
      <c r="H39" s="336" t="n">
        <v>1.430218498275062</v>
      </c>
      <c r="I39" s="327" t="inlineStr">
        <is>
          <t>RENCANA</t>
        </is>
      </c>
      <c r="J39" s="328" t="n"/>
      <c r="K39" s="329" t="n"/>
      <c r="L39" s="329" t="n"/>
      <c r="M39" s="330" t="n"/>
      <c r="N39" s="328" t="n"/>
      <c r="O39" s="329" t="n"/>
      <c r="P39" s="329" t="n"/>
      <c r="Q39" s="331" t="n"/>
      <c r="R39" s="328">
        <f>H39/4</f>
        <v/>
      </c>
      <c r="S39" s="329" t="n"/>
      <c r="T39" s="329">
        <f>R39</f>
        <v/>
      </c>
      <c r="U39" s="329" t="n"/>
      <c r="V39" s="331">
        <f>T39</f>
        <v/>
      </c>
      <c r="W39" s="443">
        <f>V39</f>
        <v/>
      </c>
      <c r="X39" s="329" t="n"/>
      <c r="Y39" s="329" t="n"/>
      <c r="Z39" s="329" t="n"/>
      <c r="AA39" s="331" t="n"/>
      <c r="AB39" s="440" t="n"/>
      <c r="AC39" s="750" t="n"/>
    </row>
    <row r="40" ht="23.45" customFormat="1" customHeight="1" s="298">
      <c r="A40" s="321" t="n"/>
      <c r="B40" s="334" t="inlineStr">
        <is>
          <t>b.4</t>
        </is>
      </c>
      <c r="C40" s="323" t="inlineStr">
        <is>
          <t>Pencucian tangki timbun (diluar material air, solven dan sabun)</t>
        </is>
      </c>
      <c r="D40" s="323" t="n"/>
      <c r="E40" s="323" t="n"/>
      <c r="F40" s="323" t="n"/>
      <c r="G40" s="339" t="n"/>
      <c r="H40" s="336" t="n">
        <v>6.59573442179359</v>
      </c>
      <c r="I40" s="327" t="inlineStr">
        <is>
          <t>RENCANA</t>
        </is>
      </c>
      <c r="J40" s="328" t="n"/>
      <c r="K40" s="329" t="n"/>
      <c r="L40" s="329" t="n"/>
      <c r="M40" s="330" t="n"/>
      <c r="N40" s="328" t="n"/>
      <c r="O40" s="329" t="n"/>
      <c r="P40" s="329" t="n"/>
      <c r="Q40" s="331" t="n"/>
      <c r="R40" s="328">
        <f>H40/6</f>
        <v/>
      </c>
      <c r="S40" s="329">
        <f>R40</f>
        <v/>
      </c>
      <c r="T40" s="329">
        <f>S40</f>
        <v/>
      </c>
      <c r="U40" s="329">
        <f>T40</f>
        <v/>
      </c>
      <c r="V40" s="331">
        <f>U40</f>
        <v/>
      </c>
      <c r="W40" s="443">
        <f>V40</f>
        <v/>
      </c>
      <c r="X40" s="329" t="n"/>
      <c r="Y40" s="329" t="n"/>
      <c r="Z40" s="329" t="n"/>
      <c r="AA40" s="331" t="n"/>
      <c r="AB40" s="440" t="n"/>
      <c r="AC40" s="750" t="n"/>
    </row>
    <row r="41" ht="23.45" customFormat="1" customHeight="1" s="298">
      <c r="A41" s="321" t="n"/>
      <c r="B41" s="343" t="n"/>
      <c r="C41" s="323" t="n"/>
      <c r="D41" s="323" t="n"/>
      <c r="E41" s="323" t="n"/>
      <c r="F41" s="323" t="n"/>
      <c r="G41" s="339" t="n"/>
      <c r="H41" s="336" t="n"/>
      <c r="I41" s="327" t="n"/>
      <c r="J41" s="328" t="n"/>
      <c r="K41" s="329" t="n"/>
      <c r="L41" s="329" t="n"/>
      <c r="M41" s="330" t="n"/>
      <c r="N41" s="328" t="n"/>
      <c r="O41" s="329" t="n"/>
      <c r="P41" s="329" t="n"/>
      <c r="Q41" s="331" t="n"/>
      <c r="R41" s="328" t="n"/>
      <c r="S41" s="329" t="n"/>
      <c r="T41" s="329" t="n"/>
      <c r="U41" s="329" t="n"/>
      <c r="V41" s="331" t="n"/>
      <c r="W41" s="443" t="n"/>
      <c r="X41" s="329" t="n"/>
      <c r="Y41" s="329" t="n"/>
      <c r="Z41" s="329" t="n"/>
      <c r="AA41" s="331" t="n"/>
      <c r="AB41" s="440" t="n"/>
      <c r="AC41" s="750" t="n"/>
    </row>
    <row r="42" ht="23.45" customFormat="1" customHeight="1" s="298">
      <c r="A42" s="321" t="inlineStr">
        <is>
          <t>IV</t>
        </is>
      </c>
      <c r="B42" s="322" t="inlineStr">
        <is>
          <t>PEKERJAAN ACCESORIS TANGKI</t>
        </is>
      </c>
      <c r="C42" s="323" t="n"/>
      <c r="D42" s="323" t="n"/>
      <c r="E42" s="323" t="n"/>
      <c r="F42" s="323" t="n"/>
      <c r="G42" s="339" t="n"/>
      <c r="H42" s="336" t="n"/>
      <c r="I42" s="327" t="n"/>
      <c r="J42" s="328" t="n"/>
      <c r="K42" s="329" t="n"/>
      <c r="L42" s="329" t="n"/>
      <c r="M42" s="330" t="n"/>
      <c r="N42" s="328" t="n"/>
      <c r="O42" s="329" t="n"/>
      <c r="P42" s="329" t="n"/>
      <c r="Q42" s="331" t="n"/>
      <c r="R42" s="328" t="n"/>
      <c r="S42" s="329" t="n"/>
      <c r="T42" s="329" t="n"/>
      <c r="U42" s="329" t="n"/>
      <c r="V42" s="331" t="n"/>
      <c r="W42" s="443" t="n"/>
      <c r="X42" s="329" t="n"/>
      <c r="Y42" s="329" t="n"/>
      <c r="Z42" s="329" t="n"/>
      <c r="AA42" s="331" t="n"/>
      <c r="AB42" s="440" t="n"/>
      <c r="AC42" s="750" t="n"/>
    </row>
    <row r="43" ht="23.45" customFormat="1" customHeight="1" s="298">
      <c r="A43" s="321" t="inlineStr">
        <is>
          <t>A</t>
        </is>
      </c>
      <c r="B43" s="322" t="inlineStr">
        <is>
          <t>MATERIAL</t>
        </is>
      </c>
      <c r="C43" s="323" t="n"/>
      <c r="D43" s="323" t="n"/>
      <c r="E43" s="323" t="n"/>
      <c r="F43" s="323" t="n"/>
      <c r="G43" s="339" t="n"/>
      <c r="H43" s="336" t="n"/>
      <c r="I43" s="327" t="n"/>
      <c r="J43" s="328" t="n"/>
      <c r="K43" s="329" t="n"/>
      <c r="L43" s="329" t="n"/>
      <c r="M43" s="330" t="n"/>
      <c r="N43" s="328" t="n"/>
      <c r="O43" s="329" t="n"/>
      <c r="P43" s="329" t="n"/>
      <c r="Q43" s="331" t="n"/>
      <c r="R43" s="328" t="n"/>
      <c r="S43" s="329" t="n"/>
      <c r="T43" s="329" t="n"/>
      <c r="U43" s="329" t="n"/>
      <c r="V43" s="331" t="n"/>
      <c r="W43" s="443" t="n"/>
      <c r="X43" s="329" t="n"/>
      <c r="Y43" s="329" t="n"/>
      <c r="Z43" s="329" t="n"/>
      <c r="AA43" s="331" t="n"/>
      <c r="AB43" s="440" t="n"/>
      <c r="AC43" s="750" t="n"/>
    </row>
    <row r="44" ht="23.45" customFormat="1" customHeight="1" s="298">
      <c r="A44" s="321" t="n"/>
      <c r="B44" s="334" t="inlineStr">
        <is>
          <t>a.1</t>
        </is>
      </c>
      <c r="C44" s="323" t="inlineStr">
        <is>
          <t>Gasket Spiral Wound #150 SS316L 4"</t>
        </is>
      </c>
      <c r="D44" s="323" t="n"/>
      <c r="E44" s="323" t="n"/>
      <c r="F44" s="323" t="n"/>
      <c r="G44" s="339" t="n"/>
      <c r="H44" s="336" t="n">
        <v>4.696240245664868</v>
      </c>
      <c r="I44" s="327" t="inlineStr">
        <is>
          <t>RENCANA</t>
        </is>
      </c>
      <c r="J44" s="328" t="n"/>
      <c r="K44" s="329" t="n"/>
      <c r="L44" s="329" t="n"/>
      <c r="M44" s="330" t="n"/>
      <c r="N44" s="328" t="n"/>
      <c r="O44" s="329" t="n"/>
      <c r="P44" s="329" t="n"/>
      <c r="Q44" s="331" t="n"/>
      <c r="R44" s="328" t="n"/>
      <c r="S44" s="329">
        <f>H44</f>
        <v/>
      </c>
      <c r="T44" s="329" t="n"/>
      <c r="U44" s="329" t="n"/>
      <c r="V44" s="331" t="n"/>
      <c r="W44" s="443" t="n"/>
      <c r="X44" s="329" t="n"/>
      <c r="Y44" s="329" t="n"/>
      <c r="Z44" s="329" t="n"/>
      <c r="AA44" s="331" t="n"/>
      <c r="AB44" s="440" t="n"/>
      <c r="AC44" s="750" t="n"/>
    </row>
    <row r="45" ht="23.45" customFormat="1" customHeight="1" s="298">
      <c r="A45" s="321" t="n"/>
      <c r="B45" s="334" t="inlineStr">
        <is>
          <t>a.2</t>
        </is>
      </c>
      <c r="C45" s="323" t="inlineStr">
        <is>
          <t>Packing  Klingerit 1000 5mmx2mx1,5m</t>
        </is>
      </c>
      <c r="D45" s="323" t="n"/>
      <c r="E45" s="323" t="n"/>
      <c r="F45" s="323" t="n"/>
      <c r="G45" s="339" t="n"/>
      <c r="H45" s="336" t="n">
        <v>16.35160009230066</v>
      </c>
      <c r="I45" s="327" t="inlineStr">
        <is>
          <t>RENCANA</t>
        </is>
      </c>
      <c r="J45" s="328" t="n"/>
      <c r="K45" s="329" t="n"/>
      <c r="L45" s="329" t="n"/>
      <c r="M45" s="330" t="n"/>
      <c r="N45" s="328" t="n"/>
      <c r="O45" s="329" t="n"/>
      <c r="P45" s="329" t="n"/>
      <c r="Q45" s="331" t="n"/>
      <c r="R45" s="328" t="n"/>
      <c r="S45" s="329">
        <f>H45/4</f>
        <v/>
      </c>
      <c r="T45" s="329" t="n"/>
      <c r="U45" s="329">
        <f>S45</f>
        <v/>
      </c>
      <c r="V45" s="331" t="n"/>
      <c r="W45" s="443">
        <f>U45</f>
        <v/>
      </c>
      <c r="X45" s="329" t="n"/>
      <c r="Y45" s="329">
        <f>W45</f>
        <v/>
      </c>
      <c r="Z45" s="329" t="n"/>
      <c r="AA45" s="331" t="n"/>
      <c r="AB45" s="440" t="n"/>
      <c r="AC45" s="750" t="n"/>
    </row>
    <row r="46" ht="23.45" customFormat="1" customHeight="1" s="298">
      <c r="A46" s="321" t="inlineStr">
        <is>
          <t>B</t>
        </is>
      </c>
      <c r="B46" s="322" t="inlineStr">
        <is>
          <t>JASA</t>
        </is>
      </c>
      <c r="C46" s="323" t="n"/>
      <c r="D46" s="323" t="n"/>
      <c r="E46" s="323" t="n"/>
      <c r="F46" s="323" t="n"/>
      <c r="G46" s="339" t="n"/>
      <c r="H46" s="336" t="n"/>
      <c r="I46" s="327" t="n"/>
      <c r="J46" s="328" t="n"/>
      <c r="K46" s="329" t="n"/>
      <c r="L46" s="329" t="n"/>
      <c r="M46" s="330" t="n"/>
      <c r="N46" s="328" t="n"/>
      <c r="O46" s="329" t="n"/>
      <c r="P46" s="329" t="n"/>
      <c r="Q46" s="331" t="n"/>
      <c r="R46" s="328" t="n"/>
      <c r="S46" s="329" t="n"/>
      <c r="T46" s="329" t="n"/>
      <c r="U46" s="329" t="n"/>
      <c r="V46" s="331" t="n"/>
      <c r="W46" s="443" t="n"/>
      <c r="X46" s="329" t="n"/>
      <c r="Y46" s="329" t="n"/>
      <c r="Z46" s="329" t="n"/>
      <c r="AA46" s="331" t="n"/>
      <c r="AB46" s="440" t="n"/>
      <c r="AC46" s="750" t="n"/>
    </row>
    <row r="47" ht="23.45" customFormat="1" customHeight="1" s="298">
      <c r="A47" s="321" t="n"/>
      <c r="B47" s="334" t="inlineStr">
        <is>
          <t>a.1</t>
        </is>
      </c>
      <c r="C47" s="323" t="inlineStr">
        <is>
          <t>Pembongkaran 2 Flange Accessories #150 (GV, BV, Check Valve, Flexible Pipe, Spool etc)</t>
        </is>
      </c>
      <c r="D47" s="323" t="n"/>
      <c r="E47" s="323" t="n"/>
      <c r="F47" s="323" t="n"/>
      <c r="G47" s="339" t="n"/>
      <c r="H47" s="336" t="n">
        <v>0.6793066506296568</v>
      </c>
      <c r="I47" s="327" t="inlineStr">
        <is>
          <t>RENCANA</t>
        </is>
      </c>
      <c r="J47" s="328" t="n"/>
      <c r="K47" s="329" t="n"/>
      <c r="L47" s="329" t="n"/>
      <c r="M47" s="330" t="n"/>
      <c r="N47" s="328" t="n"/>
      <c r="O47" s="329" t="n"/>
      <c r="P47" s="329" t="n"/>
      <c r="Q47" s="331" t="n"/>
      <c r="R47" s="328" t="n"/>
      <c r="S47" s="329">
        <f>H47/4</f>
        <v/>
      </c>
      <c r="T47" s="329" t="n"/>
      <c r="U47" s="329">
        <f>S47</f>
        <v/>
      </c>
      <c r="V47" s="331" t="n"/>
      <c r="W47" s="443">
        <f>U47</f>
        <v/>
      </c>
      <c r="X47" s="329" t="n"/>
      <c r="Y47" s="329">
        <f>W47</f>
        <v/>
      </c>
      <c r="Z47" s="329" t="n"/>
      <c r="AA47" s="331" t="n"/>
      <c r="AB47" s="440" t="n"/>
      <c r="AC47" s="750" t="n"/>
    </row>
    <row r="48" ht="23.45" customFormat="1" customHeight="1" s="298">
      <c r="A48" s="321" t="n"/>
      <c r="B48" s="334" t="n"/>
      <c r="C48" s="347" t="inlineStr">
        <is>
          <t>a.1.1</t>
        </is>
      </c>
      <c r="D48" s="323" t="inlineStr">
        <is>
          <t xml:space="preserve">Pembongkaran 2 Flange Accessories  ø4" </t>
        </is>
      </c>
      <c r="E48" s="323" t="n"/>
      <c r="F48" s="323" t="n"/>
      <c r="G48" s="339" t="n"/>
      <c r="H48" s="336" t="n"/>
      <c r="I48" s="327" t="n"/>
      <c r="J48" s="328" t="n"/>
      <c r="K48" s="329" t="n"/>
      <c r="L48" s="329" t="n"/>
      <c r="M48" s="330" t="n"/>
      <c r="N48" s="328" t="n"/>
      <c r="O48" s="329" t="n"/>
      <c r="P48" s="329" t="n"/>
      <c r="Q48" s="331" t="n"/>
      <c r="R48" s="328" t="n"/>
      <c r="S48" s="329" t="n"/>
      <c r="T48" s="329" t="n"/>
      <c r="U48" s="329" t="n"/>
      <c r="V48" s="331" t="n"/>
      <c r="W48" s="443" t="n"/>
      <c r="X48" s="329" t="n"/>
      <c r="Y48" s="329" t="n"/>
      <c r="Z48" s="329" t="n"/>
      <c r="AA48" s="331" t="n"/>
      <c r="AB48" s="440" t="n"/>
      <c r="AC48" s="750" t="n"/>
    </row>
    <row r="49" ht="23.45" customFormat="1" customHeight="1" s="298">
      <c r="A49" s="321" t="n"/>
      <c r="B49" s="334" t="inlineStr">
        <is>
          <t>a.2</t>
        </is>
      </c>
      <c r="C49" s="323" t="inlineStr">
        <is>
          <t>Penyetelan dan Pemasangan 2 Flange Accessories #150 (GV, BV, Check Valve, Flexible Pipe, Spool etc)</t>
        </is>
      </c>
      <c r="D49" s="323" t="n"/>
      <c r="E49" s="323" t="n"/>
      <c r="F49" s="323" t="n"/>
      <c r="G49" s="339" t="n"/>
      <c r="H49" s="336" t="n">
        <v>2.233383258482531</v>
      </c>
      <c r="I49" s="327" t="inlineStr">
        <is>
          <t>RENCANA</t>
        </is>
      </c>
      <c r="J49" s="328" t="n"/>
      <c r="K49" s="329" t="n"/>
      <c r="L49" s="329" t="n"/>
      <c r="M49" s="330" t="n"/>
      <c r="N49" s="328" t="n"/>
      <c r="O49" s="329" t="n"/>
      <c r="P49" s="329" t="n"/>
      <c r="Q49" s="331" t="n"/>
      <c r="R49" s="328" t="n"/>
      <c r="S49" s="329" t="n"/>
      <c r="T49" s="329">
        <f>H49/4</f>
        <v/>
      </c>
      <c r="U49" s="329" t="n"/>
      <c r="V49" s="331">
        <f>T49</f>
        <v/>
      </c>
      <c r="W49" s="443" t="n"/>
      <c r="X49" s="329">
        <f>V49</f>
        <v/>
      </c>
      <c r="Y49" s="329">
        <f>X49</f>
        <v/>
      </c>
      <c r="Z49" s="329" t="n"/>
      <c r="AA49" s="331" t="n"/>
      <c r="AB49" s="440" t="n"/>
      <c r="AC49" s="750" t="n"/>
    </row>
    <row r="50" ht="23.45" customFormat="1" customHeight="1" s="298">
      <c r="A50" s="321" t="n"/>
      <c r="B50" s="348" t="n"/>
      <c r="C50" s="347" t="inlineStr">
        <is>
          <t>a.2.1</t>
        </is>
      </c>
      <c r="D50" s="323" t="inlineStr">
        <is>
          <t xml:space="preserve">Penyetelan dan Pemasangan 2 Flange Accessories  ø4" </t>
        </is>
      </c>
      <c r="E50" s="323" t="n"/>
      <c r="F50" s="323" t="n"/>
      <c r="G50" s="339" t="n"/>
      <c r="H50" s="336" t="n"/>
      <c r="I50" s="327" t="n"/>
      <c r="J50" s="328" t="n"/>
      <c r="K50" s="329" t="n"/>
      <c r="L50" s="329" t="n"/>
      <c r="M50" s="330" t="n"/>
      <c r="N50" s="328" t="n"/>
      <c r="O50" s="329" t="n"/>
      <c r="P50" s="329" t="n"/>
      <c r="Q50" s="331" t="n"/>
      <c r="R50" s="328" t="n"/>
      <c r="S50" s="329" t="n"/>
      <c r="T50" s="329" t="n"/>
      <c r="U50" s="329" t="n"/>
      <c r="V50" s="331" t="n"/>
      <c r="W50" s="443" t="n"/>
      <c r="X50" s="329" t="n"/>
      <c r="Y50" s="329" t="n"/>
      <c r="Z50" s="329" t="n"/>
      <c r="AA50" s="331" t="n"/>
      <c r="AB50" s="440" t="n"/>
      <c r="AC50" s="750" t="n"/>
    </row>
    <row r="51" ht="23.45" customFormat="1" customHeight="1" s="298">
      <c r="A51" s="321" t="n"/>
      <c r="B51" s="334" t="inlineStr">
        <is>
          <t>a.3</t>
        </is>
      </c>
      <c r="C51" s="323" t="inlineStr">
        <is>
          <t>Pekerjaan Unbolting Flange #150</t>
        </is>
      </c>
      <c r="D51" s="323" t="n"/>
      <c r="E51" s="323" t="n"/>
      <c r="F51" s="323" t="n"/>
      <c r="G51" s="339" t="n"/>
      <c r="H51" s="336" t="n">
        <v>0.9806982510749596</v>
      </c>
      <c r="I51" s="327" t="inlineStr">
        <is>
          <t>RENCANA</t>
        </is>
      </c>
      <c r="J51" s="328" t="n"/>
      <c r="K51" s="329" t="n"/>
      <c r="L51" s="329" t="n"/>
      <c r="M51" s="330" t="n"/>
      <c r="N51" s="328" t="n"/>
      <c r="O51" s="329" t="n"/>
      <c r="P51" s="329" t="n"/>
      <c r="Q51" s="331" t="n"/>
      <c r="R51" s="328" t="n"/>
      <c r="S51" s="329">
        <f>H51/4</f>
        <v/>
      </c>
      <c r="T51" s="329" t="n"/>
      <c r="U51" s="329">
        <f>S51</f>
        <v/>
      </c>
      <c r="V51" s="331" t="n"/>
      <c r="W51" s="443">
        <f>U51</f>
        <v/>
      </c>
      <c r="X51" s="329" t="n"/>
      <c r="Y51" s="329">
        <f>W51</f>
        <v/>
      </c>
      <c r="Z51" s="329" t="n"/>
      <c r="AA51" s="331" t="n"/>
      <c r="AB51" s="440" t="n"/>
      <c r="AC51" s="750" t="n"/>
    </row>
    <row r="52" ht="23.45" customFormat="1" customHeight="1" s="298">
      <c r="A52" s="321" t="n"/>
      <c r="B52" s="334" t="n"/>
      <c r="C52" s="347" t="inlineStr">
        <is>
          <t>a.3.1</t>
        </is>
      </c>
      <c r="D52" s="323" t="inlineStr">
        <is>
          <t>Flange ø24" #150</t>
        </is>
      </c>
      <c r="E52" s="323" t="n"/>
      <c r="F52" s="323" t="n"/>
      <c r="G52" s="339" t="n"/>
      <c r="H52" s="336" t="n"/>
      <c r="I52" s="327" t="n"/>
      <c r="J52" s="328" t="n"/>
      <c r="K52" s="329" t="n"/>
      <c r="L52" s="329" t="n"/>
      <c r="M52" s="330" t="n"/>
      <c r="N52" s="328" t="n"/>
      <c r="O52" s="329" t="n"/>
      <c r="P52" s="329" t="n"/>
      <c r="Q52" s="331" t="n"/>
      <c r="R52" s="328" t="n"/>
      <c r="S52" s="329" t="n"/>
      <c r="T52" s="329" t="n"/>
      <c r="U52" s="329" t="n"/>
      <c r="V52" s="331" t="n"/>
      <c r="W52" s="443" t="n"/>
      <c r="X52" s="329" t="n"/>
      <c r="Y52" s="329" t="n"/>
      <c r="Z52" s="329" t="n"/>
      <c r="AA52" s="331" t="n"/>
      <c r="AB52" s="440" t="n"/>
      <c r="AC52" s="750" t="n"/>
    </row>
    <row r="53" ht="23.45" customFormat="1" customHeight="1" s="298">
      <c r="A53" s="321" t="n"/>
      <c r="B53" s="334" t="inlineStr">
        <is>
          <t>a.4</t>
        </is>
      </c>
      <c r="C53" s="323" t="inlineStr">
        <is>
          <t>Pekerjaan Bolting-ups Flange #150</t>
        </is>
      </c>
      <c r="D53" s="346" t="n"/>
      <c r="E53" s="323" t="n"/>
      <c r="F53" s="323" t="n"/>
      <c r="G53" s="339" t="n"/>
      <c r="H53" s="336" t="n">
        <v>1.144416349913417</v>
      </c>
      <c r="I53" s="327" t="inlineStr">
        <is>
          <t>RENCANA</t>
        </is>
      </c>
      <c r="J53" s="328" t="n"/>
      <c r="K53" s="329" t="n"/>
      <c r="L53" s="329" t="n"/>
      <c r="M53" s="330" t="n"/>
      <c r="N53" s="328" t="n"/>
      <c r="O53" s="329" t="n"/>
      <c r="P53" s="329" t="n"/>
      <c r="Q53" s="331" t="n"/>
      <c r="R53" s="328" t="n"/>
      <c r="S53" s="329" t="n"/>
      <c r="T53" s="329">
        <f>H53/4</f>
        <v/>
      </c>
      <c r="U53" s="329" t="n"/>
      <c r="V53" s="331">
        <f>T53</f>
        <v/>
      </c>
      <c r="W53" s="443" t="n"/>
      <c r="X53" s="329">
        <f>V53</f>
        <v/>
      </c>
      <c r="Y53" s="329">
        <f>X53</f>
        <v/>
      </c>
      <c r="Z53" s="329" t="n"/>
      <c r="AA53" s="331" t="n"/>
      <c r="AB53" s="440" t="n"/>
      <c r="AC53" s="750" t="n"/>
    </row>
    <row r="54" ht="23.45" customFormat="1" customHeight="1" s="298">
      <c r="A54" s="321" t="n"/>
      <c r="B54" s="334" t="n"/>
      <c r="C54" s="347" t="inlineStr">
        <is>
          <t>a.4.1</t>
        </is>
      </c>
      <c r="D54" s="323" t="inlineStr">
        <is>
          <t>Flange ø24" #150</t>
        </is>
      </c>
      <c r="E54" s="323" t="n"/>
      <c r="F54" s="323" t="n"/>
      <c r="G54" s="339" t="n"/>
      <c r="H54" s="336" t="n"/>
      <c r="I54" s="327" t="n"/>
      <c r="J54" s="328" t="n"/>
      <c r="K54" s="329" t="n"/>
      <c r="L54" s="329" t="n"/>
      <c r="M54" s="330" t="n"/>
      <c r="N54" s="328" t="n"/>
      <c r="O54" s="329" t="n"/>
      <c r="P54" s="329" t="n"/>
      <c r="Q54" s="331" t="n"/>
      <c r="R54" s="328" t="n"/>
      <c r="S54" s="329" t="n"/>
      <c r="T54" s="329" t="n"/>
      <c r="U54" s="329" t="n"/>
      <c r="V54" s="331" t="n"/>
      <c r="W54" s="443" t="n"/>
      <c r="X54" s="329" t="n"/>
      <c r="Y54" s="329" t="n"/>
      <c r="Z54" s="329" t="n"/>
      <c r="AA54" s="331" t="n"/>
      <c r="AB54" s="440" t="n"/>
      <c r="AC54" s="750" t="n"/>
    </row>
    <row r="55" ht="23.45" customFormat="1" customHeight="1" s="298">
      <c r="A55" s="321" t="n"/>
      <c r="B55" s="334" t="n"/>
      <c r="C55" s="323" t="n"/>
      <c r="D55" s="323" t="n"/>
      <c r="E55" s="323" t="n"/>
      <c r="F55" s="323" t="n"/>
      <c r="G55" s="339" t="n"/>
      <c r="H55" s="336" t="n"/>
      <c r="I55" s="327" t="n"/>
      <c r="J55" s="328" t="n"/>
      <c r="K55" s="329" t="n"/>
      <c r="L55" s="329" t="n"/>
      <c r="M55" s="330" t="n"/>
      <c r="N55" s="328" t="n"/>
      <c r="O55" s="329" t="n"/>
      <c r="P55" s="329" t="n"/>
      <c r="Q55" s="331" t="n"/>
      <c r="R55" s="328" t="n"/>
      <c r="S55" s="329" t="n"/>
      <c r="T55" s="329" t="n"/>
      <c r="U55" s="329" t="n"/>
      <c r="V55" s="331" t="n"/>
      <c r="W55" s="443" t="n"/>
      <c r="X55" s="329" t="n"/>
      <c r="Y55" s="329" t="n"/>
      <c r="Z55" s="329" t="n"/>
      <c r="AA55" s="331" t="n"/>
      <c r="AB55" s="440" t="n"/>
      <c r="AC55" s="750" t="n"/>
    </row>
    <row r="56" ht="23.45" customFormat="1" customHeight="1" s="298">
      <c r="A56" s="321" t="inlineStr">
        <is>
          <t xml:space="preserve">V </t>
        </is>
      </c>
      <c r="B56" s="322" t="inlineStr">
        <is>
          <t>PEKERJAAN COATING</t>
        </is>
      </c>
      <c r="C56" s="346" t="n"/>
      <c r="D56" s="346" t="n"/>
      <c r="E56" s="323" t="n"/>
      <c r="F56" s="323" t="n"/>
      <c r="G56" s="339" t="n"/>
      <c r="H56" s="336" t="n"/>
      <c r="I56" s="327" t="n"/>
      <c r="J56" s="328" t="n"/>
      <c r="K56" s="329" t="n"/>
      <c r="L56" s="329" t="n"/>
      <c r="M56" s="330" t="n"/>
      <c r="N56" s="328" t="n"/>
      <c r="O56" s="329" t="n"/>
      <c r="P56" s="329" t="n"/>
      <c r="Q56" s="331" t="n"/>
      <c r="R56" s="328" t="n"/>
      <c r="S56" s="329" t="n"/>
      <c r="T56" s="329" t="n"/>
      <c r="U56" s="329" t="n"/>
      <c r="V56" s="331" t="n"/>
      <c r="W56" s="443" t="n"/>
      <c r="X56" s="329" t="n"/>
      <c r="Y56" s="329" t="n"/>
      <c r="Z56" s="329" t="n"/>
      <c r="AA56" s="331" t="n"/>
      <c r="AB56" s="440" t="n"/>
      <c r="AC56" s="750" t="n"/>
    </row>
    <row r="57" ht="23.45" customFormat="1" customHeight="1" s="298">
      <c r="A57" s="321" t="inlineStr">
        <is>
          <t>A</t>
        </is>
      </c>
      <c r="B57" s="343" t="inlineStr">
        <is>
          <t>Touch up dan Pengecetan Aksesoris</t>
        </is>
      </c>
      <c r="C57" s="323" t="n"/>
      <c r="D57" s="323" t="n"/>
      <c r="E57" s="323" t="n"/>
      <c r="F57" s="323" t="n"/>
      <c r="G57" s="339" t="n"/>
      <c r="H57" s="336" t="n"/>
      <c r="I57" s="327" t="n"/>
      <c r="J57" s="328" t="n"/>
      <c r="K57" s="329" t="n"/>
      <c r="L57" s="329" t="n"/>
      <c r="M57" s="330" t="n"/>
      <c r="N57" s="328" t="n"/>
      <c r="O57" s="329" t="n"/>
      <c r="P57" s="329" t="n"/>
      <c r="Q57" s="331" t="n"/>
      <c r="R57" s="328" t="n"/>
      <c r="S57" s="329" t="n"/>
      <c r="T57" s="329" t="n"/>
      <c r="U57" s="329" t="n"/>
      <c r="V57" s="331" t="n"/>
      <c r="W57" s="443" t="n"/>
      <c r="X57" s="329" t="n"/>
      <c r="Y57" s="329" t="n"/>
      <c r="Z57" s="329" t="n"/>
      <c r="AA57" s="331" t="n"/>
      <c r="AB57" s="440" t="n"/>
      <c r="AC57" s="750" t="n"/>
    </row>
    <row r="58" ht="23.45" customFormat="1" customHeight="1" s="298">
      <c r="A58" s="321" t="n"/>
      <c r="B58" s="334" t="inlineStr">
        <is>
          <t>a.1</t>
        </is>
      </c>
      <c r="C58" s="323" t="inlineStr">
        <is>
          <t xml:space="preserve">Top Coat 50 mikron </t>
        </is>
      </c>
      <c r="D58" s="323" t="n"/>
      <c r="E58" s="323" t="n"/>
      <c r="F58" s="323" t="n"/>
      <c r="G58" s="339" t="n"/>
      <c r="H58" s="336" t="n">
        <v>0.8846288083515038</v>
      </c>
      <c r="I58" s="327" t="inlineStr">
        <is>
          <t>RENCANA</t>
        </is>
      </c>
      <c r="J58" s="328" t="n"/>
      <c r="K58" s="329" t="n"/>
      <c r="L58" s="329" t="n"/>
      <c r="M58" s="330" t="n"/>
      <c r="N58" s="328" t="n"/>
      <c r="O58" s="329" t="n"/>
      <c r="P58" s="329" t="n"/>
      <c r="Q58" s="331" t="n"/>
      <c r="R58" s="328" t="n"/>
      <c r="S58" s="329" t="n"/>
      <c r="T58" s="329" t="n"/>
      <c r="U58" s="329" t="n"/>
      <c r="V58" s="331" t="n"/>
      <c r="W58" s="443" t="n"/>
      <c r="X58" s="329" t="n"/>
      <c r="Y58" s="329" t="n"/>
      <c r="Z58" s="329">
        <f>H58</f>
        <v/>
      </c>
      <c r="AA58" s="331" t="n"/>
      <c r="AB58" s="440" t="n"/>
      <c r="AC58" s="750" t="n"/>
    </row>
    <row r="59" ht="23.45" customFormat="1" customHeight="1" s="298">
      <c r="A59" s="321" t="n"/>
      <c r="B59" s="348" t="n"/>
      <c r="C59" s="346" t="n"/>
      <c r="D59" s="346" t="n"/>
      <c r="E59" s="323" t="n"/>
      <c r="F59" s="323" t="n"/>
      <c r="G59" s="339" t="n"/>
      <c r="H59" s="336" t="n"/>
      <c r="I59" s="327" t="n"/>
      <c r="J59" s="328" t="n"/>
      <c r="K59" s="329" t="n"/>
      <c r="L59" s="329" t="n"/>
      <c r="M59" s="330" t="n"/>
      <c r="N59" s="328" t="n"/>
      <c r="O59" s="329" t="n"/>
      <c r="P59" s="329" t="n"/>
      <c r="Q59" s="331" t="n"/>
      <c r="R59" s="328" t="n"/>
      <c r="S59" s="329" t="n"/>
      <c r="T59" s="329" t="n"/>
      <c r="U59" s="329" t="n"/>
      <c r="V59" s="331" t="n"/>
      <c r="W59" s="443" t="n"/>
      <c r="X59" s="329" t="n"/>
      <c r="Y59" s="329" t="n"/>
      <c r="Z59" s="329" t="n"/>
      <c r="AA59" s="331" t="n"/>
      <c r="AB59" s="440" t="n"/>
      <c r="AC59" s="750" t="n"/>
    </row>
    <row r="60" ht="23.45" customFormat="1" customHeight="1" s="298">
      <c r="A60" s="321" t="inlineStr">
        <is>
          <t>VI</t>
        </is>
      </c>
      <c r="B60" s="322" t="inlineStr">
        <is>
          <t>PEKERJAAN FINISHING</t>
        </is>
      </c>
      <c r="C60" s="323" t="n"/>
      <c r="D60" s="323" t="n"/>
      <c r="E60" s="323" t="n"/>
      <c r="F60" s="323" t="n"/>
      <c r="G60" s="339" t="n"/>
      <c r="H60" s="336" t="n"/>
      <c r="I60" s="327" t="n"/>
      <c r="J60" s="328" t="n"/>
      <c r="K60" s="329" t="n"/>
      <c r="L60" s="329" t="n"/>
      <c r="M60" s="330" t="n"/>
      <c r="N60" s="328" t="n"/>
      <c r="O60" s="329" t="n"/>
      <c r="P60" s="329" t="n"/>
      <c r="Q60" s="331" t="n"/>
      <c r="R60" s="328" t="n"/>
      <c r="S60" s="329" t="n"/>
      <c r="T60" s="329" t="n"/>
      <c r="U60" s="329" t="n"/>
      <c r="V60" s="331" t="n"/>
      <c r="W60" s="443" t="n"/>
      <c r="X60" s="329" t="n"/>
      <c r="Y60" s="329" t="n"/>
      <c r="Z60" s="329" t="n"/>
      <c r="AA60" s="331" t="n"/>
      <c r="AB60" s="440" t="n"/>
      <c r="AC60" s="750" t="n"/>
    </row>
    <row r="61" ht="23.45" customFormat="1" customHeight="1" s="298">
      <c r="A61" s="321" t="inlineStr">
        <is>
          <t>A</t>
        </is>
      </c>
      <c r="B61" s="343" t="inlineStr">
        <is>
          <t>Commissioning Test</t>
        </is>
      </c>
      <c r="C61" s="323" t="n"/>
      <c r="D61" s="323" t="n"/>
      <c r="E61" s="323" t="n"/>
      <c r="F61" s="323" t="n"/>
      <c r="G61" s="339" t="n"/>
      <c r="H61" s="336" t="n">
        <v>4.483030970718522</v>
      </c>
      <c r="I61" s="327" t="inlineStr">
        <is>
          <t>RENCANA</t>
        </is>
      </c>
      <c r="J61" s="328" t="n"/>
      <c r="K61" s="329" t="n"/>
      <c r="L61" s="329" t="n"/>
      <c r="M61" s="330" t="n"/>
      <c r="N61" s="328" t="n"/>
      <c r="O61" s="329" t="n"/>
      <c r="P61" s="329" t="n"/>
      <c r="Q61" s="331" t="n"/>
      <c r="R61" s="328" t="n"/>
      <c r="S61" s="329" t="n"/>
      <c r="T61" s="329" t="n"/>
      <c r="U61" s="329" t="n"/>
      <c r="V61" s="331" t="n"/>
      <c r="W61" s="443" t="n"/>
      <c r="X61" s="329" t="n"/>
      <c r="Y61" s="329" t="n"/>
      <c r="Z61" s="329">
        <f>H61</f>
        <v/>
      </c>
      <c r="AA61" s="331" t="n"/>
      <c r="AB61" s="440" t="n"/>
      <c r="AC61" s="750" t="n"/>
    </row>
    <row r="62" ht="23.45" customFormat="1" customHeight="1" s="298">
      <c r="A62" s="321" t="inlineStr">
        <is>
          <t>B</t>
        </is>
      </c>
      <c r="B62" s="343" t="inlineStr">
        <is>
          <t>Pembersihan Lokasi Ex-Pekerjaan</t>
        </is>
      </c>
      <c r="C62" s="346" t="n"/>
      <c r="D62" s="323" t="n"/>
      <c r="E62" s="323" t="n"/>
      <c r="F62" s="323" t="n"/>
      <c r="G62" s="339" t="n"/>
      <c r="H62" s="336" t="n">
        <v>1.565644240465478</v>
      </c>
      <c r="I62" s="327" t="inlineStr">
        <is>
          <t>RENCANA</t>
        </is>
      </c>
      <c r="J62" s="328" t="n"/>
      <c r="K62" s="329" t="n"/>
      <c r="L62" s="329" t="n"/>
      <c r="M62" s="330" t="n"/>
      <c r="N62" s="328" t="n"/>
      <c r="O62" s="329" t="n"/>
      <c r="P62" s="329" t="n"/>
      <c r="Q62" s="331" t="n"/>
      <c r="R62" s="328" t="n"/>
      <c r="S62" s="329" t="n"/>
      <c r="T62" s="329" t="n"/>
      <c r="U62" s="329" t="n"/>
      <c r="V62" s="331" t="n"/>
      <c r="W62" s="443" t="n"/>
      <c r="X62" s="329" t="n"/>
      <c r="Y62" s="329" t="n"/>
      <c r="Z62" s="329">
        <f>H62/2</f>
        <v/>
      </c>
      <c r="AA62" s="331">
        <f>Z62</f>
        <v/>
      </c>
      <c r="AB62" s="440" t="n"/>
      <c r="AC62" s="750" t="n"/>
    </row>
    <row r="63" ht="23.45" customFormat="1" customHeight="1" s="298">
      <c r="A63" s="321" t="inlineStr">
        <is>
          <t>C</t>
        </is>
      </c>
      <c r="B63" s="343" t="inlineStr">
        <is>
          <t>Verifikasi TKDN dengan Verifikator Independent (&lt; 500 jt)</t>
        </is>
      </c>
      <c r="C63" s="323" t="n"/>
      <c r="D63" s="323" t="n"/>
      <c r="E63" s="323" t="n"/>
      <c r="F63" s="323" t="n"/>
      <c r="G63" s="339" t="n"/>
      <c r="H63" s="336" t="n">
        <v>20.93444542524544</v>
      </c>
      <c r="I63" s="327" t="inlineStr">
        <is>
          <t>RENCANA</t>
        </is>
      </c>
      <c r="J63" s="328" t="n"/>
      <c r="K63" s="329" t="n"/>
      <c r="L63" s="329" t="n"/>
      <c r="M63" s="330" t="n"/>
      <c r="N63" s="328" t="n"/>
      <c r="O63" s="329" t="n"/>
      <c r="P63" s="329" t="n"/>
      <c r="Q63" s="331" t="n"/>
      <c r="R63" s="328" t="n"/>
      <c r="S63" s="329" t="n"/>
      <c r="T63" s="329" t="n"/>
      <c r="U63" s="329" t="n"/>
      <c r="V63" s="331" t="n"/>
      <c r="W63" s="443" t="n"/>
      <c r="X63" s="329" t="n"/>
      <c r="Y63" s="329" t="n"/>
      <c r="Z63" s="329" t="n"/>
      <c r="AA63" s="331">
        <f>H63</f>
        <v/>
      </c>
      <c r="AB63" s="440" t="n"/>
      <c r="AC63" s="750" t="n"/>
    </row>
    <row r="64" ht="23.45" customHeight="1" thickBot="1">
      <c r="A64" s="349" t="n"/>
      <c r="B64" s="350" t="n"/>
      <c r="C64" s="351" t="n"/>
      <c r="D64" s="352" t="n"/>
      <c r="E64" s="352" t="n"/>
      <c r="F64" s="352" t="n"/>
      <c r="G64" s="353" t="n"/>
      <c r="H64" s="354" t="n"/>
      <c r="I64" s="355" t="n"/>
      <c r="J64" s="356" t="n"/>
      <c r="K64" s="357" t="n"/>
      <c r="L64" s="357" t="n"/>
      <c r="M64" s="358" t="n"/>
      <c r="N64" s="359" t="n"/>
      <c r="O64" s="360" t="n"/>
      <c r="P64" s="360" t="n"/>
      <c r="Q64" s="361" t="n"/>
      <c r="R64" s="359" t="n"/>
      <c r="S64" s="357" t="n"/>
      <c r="T64" s="357" t="n"/>
      <c r="U64" s="357" t="n"/>
      <c r="V64" s="362" t="n"/>
      <c r="W64" s="444" t="n"/>
      <c r="X64" s="357" t="n"/>
      <c r="Y64" s="357" t="n"/>
      <c r="Z64" s="357" t="n"/>
      <c r="AA64" s="362" t="n"/>
      <c r="AB64" s="441" t="n"/>
      <c r="AC64" s="751" t="n"/>
    </row>
    <row r="65" ht="23.45" customHeight="1" thickBot="1">
      <c r="A65" s="752" t="inlineStr">
        <is>
          <t>TOTAL</t>
        </is>
      </c>
      <c r="B65" s="731" t="n"/>
      <c r="C65" s="731" t="n"/>
      <c r="D65" s="731" t="n"/>
      <c r="E65" s="731" t="n"/>
      <c r="F65" s="731" t="n"/>
      <c r="G65" s="747" t="n"/>
      <c r="H65" s="364">
        <f>SUM(H16:H63)</f>
        <v/>
      </c>
      <c r="I65" s="365" t="n"/>
      <c r="J65" s="366" t="n"/>
      <c r="K65" s="367" t="n"/>
      <c r="L65" s="367" t="n"/>
      <c r="M65" s="367" t="n"/>
      <c r="N65" s="369" t="n"/>
      <c r="O65" s="367" t="n"/>
      <c r="P65" s="367" t="n"/>
      <c r="Q65" s="367" t="n"/>
      <c r="R65" s="367" t="n"/>
      <c r="S65" s="369" t="n"/>
      <c r="T65" s="367" t="n"/>
      <c r="U65" s="367" t="n"/>
      <c r="V65" s="367" t="n"/>
      <c r="W65" s="367" t="n"/>
      <c r="X65" s="367" t="n"/>
      <c r="Y65" s="367" t="n"/>
      <c r="Z65" s="367" t="n"/>
      <c r="AA65" s="368" t="n"/>
      <c r="AB65" s="441" t="n"/>
    </row>
    <row r="66" ht="23.45" customHeight="1">
      <c r="A66" s="370" t="inlineStr">
        <is>
          <t>PROGESS RENCANA BULANAN</t>
        </is>
      </c>
      <c r="B66" s="371" t="n"/>
      <c r="C66" s="371" t="n"/>
      <c r="D66" s="371" t="n"/>
      <c r="E66" s="371" t="n"/>
      <c r="F66" s="371" t="n"/>
      <c r="G66" s="371" t="n"/>
      <c r="H66" s="372" t="n"/>
      <c r="I66" s="371" t="n"/>
      <c r="J66" s="373">
        <f>SUM(J16:J63)</f>
        <v/>
      </c>
      <c r="K66" s="432">
        <f>SUM(K16:K63)</f>
        <v/>
      </c>
      <c r="L66" s="432">
        <f>SUM(L16:L63)</f>
        <v/>
      </c>
      <c r="M66" s="432">
        <f>SUM(M16:M63)</f>
        <v/>
      </c>
      <c r="N66" s="432">
        <f>SUM(N16:N63)</f>
        <v/>
      </c>
      <c r="O66" s="432">
        <f>SUM(O16:O63)</f>
        <v/>
      </c>
      <c r="P66" s="432">
        <f>SUM(P16:P63)</f>
        <v/>
      </c>
      <c r="Q66" s="432">
        <f>SUM(Q16:Q63)</f>
        <v/>
      </c>
      <c r="R66" s="432">
        <f>SUM(R16:R63)</f>
        <v/>
      </c>
      <c r="S66" s="432">
        <f>SUM(S16:S63)</f>
        <v/>
      </c>
      <c r="T66" s="432">
        <f>SUM(T16:T63)</f>
        <v/>
      </c>
      <c r="U66" s="432">
        <f>SUM(U16:U63)</f>
        <v/>
      </c>
      <c r="V66" s="432">
        <f>SUM(V16:V63)</f>
        <v/>
      </c>
      <c r="W66" s="432">
        <f>SUM(W16:W63)</f>
        <v/>
      </c>
      <c r="X66" s="432">
        <f>SUM(X16:X63)</f>
        <v/>
      </c>
      <c r="Y66" s="432">
        <f>SUM(Y16:Y63)</f>
        <v/>
      </c>
      <c r="Z66" s="432">
        <f>SUM(Z16:Z63)</f>
        <v/>
      </c>
      <c r="AA66" s="433">
        <f>SUM(AA16:AA63)</f>
        <v/>
      </c>
      <c r="AB66" s="441" t="n"/>
    </row>
    <row r="67" ht="23.45" customHeight="1" thickBot="1">
      <c r="A67" s="374" t="inlineStr">
        <is>
          <t>KUMULATIF PROGESS RENCANA BULANAN</t>
        </is>
      </c>
      <c r="B67" s="375" t="n"/>
      <c r="C67" s="375" t="n"/>
      <c r="D67" s="375" t="n"/>
      <c r="E67" s="375" t="n"/>
      <c r="F67" s="375" t="n"/>
      <c r="G67" s="375" t="n"/>
      <c r="H67" s="376" t="n">
        <v>0</v>
      </c>
      <c r="I67" s="377" t="n">
        <v>0</v>
      </c>
      <c r="J67" s="378">
        <f>J66</f>
        <v/>
      </c>
      <c r="K67" s="434">
        <f>J67+K66</f>
        <v/>
      </c>
      <c r="L67" s="434">
        <f>K67+L66</f>
        <v/>
      </c>
      <c r="M67" s="434">
        <f>L67+M66</f>
        <v/>
      </c>
      <c r="N67" s="434">
        <f>M67+N66</f>
        <v/>
      </c>
      <c r="O67" s="434">
        <f>N67+O66</f>
        <v/>
      </c>
      <c r="P67" s="434">
        <f>O67+P66</f>
        <v/>
      </c>
      <c r="Q67" s="434">
        <f>P67+Q66</f>
        <v/>
      </c>
      <c r="R67" s="434">
        <f>Q67+R66</f>
        <v/>
      </c>
      <c r="S67" s="434">
        <f>R67+S66</f>
        <v/>
      </c>
      <c r="T67" s="434">
        <f>S67+T66</f>
        <v/>
      </c>
      <c r="U67" s="434">
        <f>T67+U66</f>
        <v/>
      </c>
      <c r="V67" s="434">
        <f>U67+V66</f>
        <v/>
      </c>
      <c r="W67" s="434">
        <f>V67+W66</f>
        <v/>
      </c>
      <c r="X67" s="434">
        <f>W67+X66</f>
        <v/>
      </c>
      <c r="Y67" s="434">
        <f>X67+Y66</f>
        <v/>
      </c>
      <c r="Z67" s="434">
        <f>Y67+Z66</f>
        <v/>
      </c>
      <c r="AA67" s="435">
        <f>Z67+AA66</f>
        <v/>
      </c>
      <c r="AB67" s="441" t="n"/>
    </row>
    <row r="68" ht="23.45" customHeight="1">
      <c r="A68" s="379" t="inlineStr">
        <is>
          <t>AKTUAL PELAKSANAAN PEKERJAAN</t>
        </is>
      </c>
      <c r="B68" s="380" t="n"/>
      <c r="C68" s="380" t="n"/>
      <c r="D68" s="380" t="n"/>
      <c r="E68" s="380" t="n"/>
      <c r="F68" s="380" t="n"/>
      <c r="G68" s="380" t="n"/>
      <c r="H68" s="381" t="n"/>
      <c r="I68" s="382" t="n"/>
      <c r="J68" s="383" t="n">
        <v>0</v>
      </c>
      <c r="K68" s="384" t="n">
        <v>0</v>
      </c>
      <c r="L68" s="384" t="n">
        <v>0</v>
      </c>
      <c r="M68" s="384" t="n">
        <v>0</v>
      </c>
      <c r="N68" s="384" t="n">
        <v>0</v>
      </c>
      <c r="O68" s="384" t="n">
        <v>0</v>
      </c>
      <c r="P68" s="384" t="n">
        <v>0</v>
      </c>
      <c r="Q68" s="384" t="n">
        <v>0</v>
      </c>
      <c r="R68" s="384" t="n">
        <v>0</v>
      </c>
      <c r="S68" s="384" t="n">
        <v>0</v>
      </c>
      <c r="T68" s="384" t="n">
        <v>0</v>
      </c>
      <c r="U68" s="384" t="n">
        <v>0</v>
      </c>
      <c r="V68" s="384" t="n">
        <v>0</v>
      </c>
      <c r="W68" s="384" t="n">
        <v>0</v>
      </c>
      <c r="X68" s="384" t="n">
        <v>0</v>
      </c>
      <c r="Y68" s="384" t="n">
        <v>0</v>
      </c>
      <c r="Z68" s="384" t="n">
        <v>0</v>
      </c>
      <c r="AA68" s="385" t="n">
        <v>0</v>
      </c>
      <c r="AB68" s="441" t="n"/>
      <c r="AC68" s="386" t="n"/>
    </row>
    <row r="69" ht="23.45" customHeight="1" thickBot="1">
      <c r="A69" s="387" t="inlineStr">
        <is>
          <t>KUMULATIF PELAKSANAAN PEKERJAAN</t>
        </is>
      </c>
      <c r="B69" s="388" t="n"/>
      <c r="C69" s="388" t="n"/>
      <c r="D69" s="388" t="n"/>
      <c r="E69" s="388" t="n"/>
      <c r="F69" s="388" t="n"/>
      <c r="G69" s="388" t="n"/>
      <c r="H69" s="389" t="n"/>
      <c r="I69" s="390" t="n">
        <v>0</v>
      </c>
      <c r="J69" s="391" t="n">
        <v>0</v>
      </c>
      <c r="K69" s="392" t="n">
        <v>0</v>
      </c>
      <c r="L69" s="392" t="n">
        <v>0</v>
      </c>
      <c r="M69" s="392" t="n">
        <v>0</v>
      </c>
      <c r="N69" s="392" t="n">
        <v>0</v>
      </c>
      <c r="O69" s="392" t="n">
        <v>0</v>
      </c>
      <c r="P69" s="392" t="n">
        <v>0</v>
      </c>
      <c r="Q69" s="392" t="n">
        <v>0</v>
      </c>
      <c r="R69" s="392" t="n">
        <v>0</v>
      </c>
      <c r="S69" s="392" t="n">
        <v>0</v>
      </c>
      <c r="T69" s="392" t="n">
        <v>0</v>
      </c>
      <c r="U69" s="392" t="n">
        <v>0</v>
      </c>
      <c r="V69" s="392" t="n">
        <v>0</v>
      </c>
      <c r="W69" s="392" t="n">
        <v>0</v>
      </c>
      <c r="X69" s="392" t="n">
        <v>0</v>
      </c>
      <c r="Y69" s="392" t="n">
        <v>0</v>
      </c>
      <c r="Z69" s="392" t="n">
        <v>0</v>
      </c>
      <c r="AA69" s="393" t="n">
        <v>0</v>
      </c>
      <c r="AB69" s="441" t="n"/>
      <c r="AC69" s="386" t="n"/>
    </row>
    <row r="70" ht="23.45" customHeight="1">
      <c r="A70" s="394" t="inlineStr">
        <is>
          <t>DEVIASI</t>
        </is>
      </c>
      <c r="B70" s="380" t="n"/>
      <c r="C70" s="380" t="n"/>
      <c r="D70" s="380" t="n"/>
      <c r="E70" s="380" t="n"/>
      <c r="F70" s="380" t="n"/>
      <c r="G70" s="380" t="n"/>
      <c r="H70" s="381" t="n"/>
      <c r="I70" s="395" t="n"/>
      <c r="J70" s="396" t="n"/>
      <c r="K70" s="397" t="n"/>
      <c r="L70" s="397" t="n"/>
      <c r="M70" s="397" t="n"/>
      <c r="N70" s="397" t="n"/>
      <c r="O70" s="397" t="n"/>
      <c r="P70" s="397" t="n"/>
      <c r="Q70" s="397" t="n"/>
      <c r="R70" s="397" t="n"/>
      <c r="S70" s="397" t="n"/>
      <c r="T70" s="397" t="n"/>
      <c r="U70" s="397" t="n"/>
      <c r="V70" s="397" t="n"/>
      <c r="W70" s="397" t="n"/>
      <c r="X70" s="397" t="n"/>
      <c r="Y70" s="397" t="n"/>
      <c r="Z70" s="397" t="n"/>
      <c r="AA70" s="398" t="n"/>
      <c r="AB70" s="441" t="n"/>
      <c r="AC70" s="386" t="n"/>
    </row>
    <row r="71" ht="23.45" customHeight="1" thickBot="1">
      <c r="A71" s="399" t="inlineStr">
        <is>
          <t>LEADING/LAGGING</t>
        </is>
      </c>
      <c r="B71" s="388" t="n"/>
      <c r="C71" s="388" t="n"/>
      <c r="D71" s="388" t="n"/>
      <c r="E71" s="388" t="n"/>
      <c r="F71" s="388" t="n"/>
      <c r="G71" s="388" t="n"/>
      <c r="H71" s="389" t="n"/>
      <c r="I71" s="390" t="n"/>
      <c r="J71" s="391" t="n"/>
      <c r="K71" s="392" t="n"/>
      <c r="L71" s="392" t="n"/>
      <c r="M71" s="392" t="n"/>
      <c r="N71" s="392" t="n"/>
      <c r="O71" s="392" t="n"/>
      <c r="P71" s="392" t="n"/>
      <c r="Q71" s="392" t="n"/>
      <c r="R71" s="392" t="n"/>
      <c r="S71" s="392" t="n"/>
      <c r="T71" s="392" t="n"/>
      <c r="U71" s="392" t="n"/>
      <c r="V71" s="392" t="n"/>
      <c r="W71" s="392" t="n"/>
      <c r="X71" s="392" t="n"/>
      <c r="Y71" s="392" t="n"/>
      <c r="Z71" s="392" t="n"/>
      <c r="AA71" s="393" t="n"/>
      <c r="AB71" s="400" t="n"/>
      <c r="AC71" s="386" t="n"/>
    </row>
    <row r="72">
      <c r="A72" s="382" t="n"/>
      <c r="B72" s="382" t="n"/>
      <c r="C72" s="382" t="n"/>
      <c r="D72" s="382" t="n"/>
      <c r="E72" s="382" t="n"/>
      <c r="F72" s="382" t="n"/>
      <c r="G72" s="382" t="n"/>
      <c r="H72" s="401" t="n"/>
      <c r="I72" s="402" t="n"/>
      <c r="J72" s="403" t="n"/>
      <c r="K72" s="403" t="n"/>
      <c r="L72" s="403" t="n"/>
      <c r="M72" s="403" t="n"/>
      <c r="N72" s="403" t="n"/>
      <c r="O72" s="403" t="n"/>
      <c r="P72" s="403" t="n"/>
      <c r="Q72" s="403" t="n"/>
      <c r="R72" s="403" t="n"/>
      <c r="S72" s="403" t="n"/>
      <c r="T72" s="403" t="n"/>
      <c r="U72" s="403" t="n"/>
      <c r="V72" s="403" t="n"/>
      <c r="W72" s="403" t="n"/>
      <c r="X72" s="403" t="n"/>
      <c r="Y72" s="403" t="n"/>
      <c r="Z72" s="403" t="n"/>
      <c r="AA72" s="403" t="n"/>
      <c r="AB72" s="404" t="n"/>
      <c r="AC72" s="386" t="n"/>
    </row>
    <row r="73" ht="20.25" customHeight="1">
      <c r="A73" s="405" t="n"/>
      <c r="B73" s="406">
        <f>'RPD03'!K27</f>
        <v/>
      </c>
      <c r="C73" s="407" t="n"/>
      <c r="D73" s="407" t="n"/>
      <c r="E73" s="407" t="n"/>
      <c r="F73" s="407" t="n"/>
      <c r="G73" s="407" t="n"/>
      <c r="H73" s="408" t="n"/>
      <c r="I73" s="409" t="n"/>
      <c r="J73" s="410" t="n"/>
      <c r="K73" s="410" t="n"/>
      <c r="L73" s="410" t="n"/>
      <c r="M73" s="410" t="n"/>
      <c r="N73" s="410" t="n"/>
      <c r="O73" s="410" t="n"/>
      <c r="P73" s="410" t="n"/>
      <c r="Q73" s="410" t="n"/>
      <c r="R73" s="410" t="n"/>
      <c r="S73" s="410" t="n"/>
      <c r="T73" s="410" t="n"/>
      <c r="U73" s="410" t="n"/>
      <c r="V73" s="410" t="n"/>
      <c r="W73" s="410" t="n"/>
      <c r="X73" s="410" t="n"/>
      <c r="Y73" s="410" t="n"/>
      <c r="Z73" s="411" t="n"/>
      <c r="AA73" s="411" t="n"/>
    </row>
    <row r="74" ht="20.25" customHeight="1">
      <c r="A74" s="405" t="n"/>
      <c r="B74" s="406" t="inlineStr">
        <is>
          <t>Diajukan :</t>
        </is>
      </c>
      <c r="C74" s="412" t="n"/>
      <c r="D74" s="412" t="n"/>
      <c r="E74" s="412" t="n"/>
      <c r="F74" s="412" t="n"/>
      <c r="G74" s="407" t="n"/>
      <c r="H74" s="408" t="n"/>
      <c r="I74" s="409" t="n"/>
      <c r="J74" s="410" t="n"/>
      <c r="K74" s="410" t="n"/>
      <c r="L74" s="410" t="n"/>
      <c r="M74" s="410" t="n"/>
      <c r="N74" s="410" t="n"/>
      <c r="O74" s="409" t="n"/>
      <c r="P74" s="410" t="n"/>
      <c r="Q74" s="410" t="n"/>
      <c r="R74" s="410" t="n"/>
      <c r="S74" s="413">
        <f>'03A-1'!B25</f>
        <v/>
      </c>
      <c r="T74" s="410" t="n"/>
      <c r="U74" s="410" t="n"/>
      <c r="V74" s="410" t="n"/>
      <c r="W74" s="410" t="n"/>
      <c r="X74" s="410" t="n"/>
      <c r="Y74" s="410" t="n"/>
      <c r="Z74" s="411" t="n"/>
      <c r="AA74" s="411" t="n"/>
    </row>
    <row r="75" ht="20.25" customHeight="1">
      <c r="A75" s="405" t="n"/>
      <c r="B75" s="414">
        <f>'RPD03'!K29</f>
        <v/>
      </c>
      <c r="C75" s="412" t="n"/>
      <c r="D75" s="412" t="n"/>
      <c r="E75" s="412" t="n"/>
      <c r="F75" s="412" t="n"/>
      <c r="G75" s="407" t="n"/>
      <c r="H75" s="408" t="n"/>
      <c r="I75" s="409" t="n"/>
      <c r="J75" s="410" t="n"/>
      <c r="K75" s="410" t="n"/>
      <c r="L75" s="410" t="n"/>
      <c r="M75" s="410" t="n"/>
      <c r="N75" s="410" t="n"/>
      <c r="O75" s="409" t="n"/>
      <c r="P75" s="410" t="n"/>
      <c r="Q75" s="410" t="n"/>
      <c r="R75" s="410" t="n"/>
      <c r="S75" s="415">
        <f>'03A-1'!B26</f>
        <v/>
      </c>
      <c r="T75" s="410" t="n"/>
      <c r="U75" s="410" t="n"/>
      <c r="V75" s="410" t="n"/>
      <c r="W75" s="410" t="n"/>
      <c r="X75" s="410" t="n"/>
      <c r="Y75" s="410" t="n"/>
      <c r="Z75" s="411" t="n"/>
      <c r="AA75" s="411" t="n"/>
    </row>
    <row r="76" ht="20.25" customHeight="1">
      <c r="A76" s="405" t="n"/>
      <c r="B76" s="406">
        <f>'RPD03'!K37</f>
        <v/>
      </c>
      <c r="C76" s="412" t="n"/>
      <c r="D76" s="412" t="n"/>
      <c r="E76" s="412" t="n"/>
      <c r="F76" s="412" t="n"/>
      <c r="G76" s="407" t="n"/>
      <c r="H76" s="408" t="n"/>
      <c r="I76" s="409" t="n"/>
      <c r="J76" s="410" t="n"/>
      <c r="K76" s="410" t="n"/>
      <c r="L76" s="410" t="n"/>
      <c r="M76" s="410" t="n"/>
      <c r="N76" s="410" t="n"/>
      <c r="O76" s="409" t="n"/>
      <c r="P76" s="410" t="n"/>
      <c r="Q76" s="410" t="n"/>
      <c r="R76" s="410" t="n"/>
      <c r="S76" s="413">
        <f>'03A-1'!B34</f>
        <v/>
      </c>
      <c r="T76" s="410" t="n"/>
      <c r="U76" s="410" t="n"/>
      <c r="V76" s="410" t="n"/>
      <c r="W76" s="410" t="n"/>
      <c r="X76" s="410" t="n"/>
      <c r="Y76" s="410" t="n"/>
      <c r="Z76" s="411" t="n"/>
      <c r="AA76" s="411" t="n"/>
    </row>
    <row r="77" ht="20.25" customHeight="1">
      <c r="A77" s="405" t="n"/>
      <c r="B77" s="406" t="n"/>
      <c r="C77" s="412" t="n"/>
      <c r="D77" s="412" t="n"/>
      <c r="E77" s="412" t="n"/>
      <c r="F77" s="412" t="n"/>
      <c r="G77" s="416" t="n"/>
      <c r="H77" s="417" t="n"/>
      <c r="I77" s="416" t="n"/>
      <c r="J77" s="418" t="n"/>
      <c r="K77" s="418" t="n"/>
      <c r="L77" s="410" t="n"/>
      <c r="M77" s="410" t="n"/>
      <c r="N77" s="410" t="n"/>
      <c r="O77" s="409" t="n"/>
      <c r="P77" s="410" t="n"/>
      <c r="Q77" s="410" t="n"/>
      <c r="R77" s="410" t="n"/>
      <c r="S77" s="413" t="n"/>
      <c r="T77" s="410" t="n"/>
      <c r="U77" s="410" t="n"/>
      <c r="V77" s="410" t="n"/>
      <c r="W77" s="410" t="n"/>
      <c r="X77" s="410" t="n"/>
      <c r="Y77" s="410" t="n"/>
      <c r="Z77" s="411" t="n"/>
      <c r="AA77" s="411" t="n"/>
    </row>
    <row r="78" ht="20.25" customHeight="1">
      <c r="A78" s="405" t="n"/>
      <c r="B78" s="406" t="n"/>
      <c r="C78" s="412" t="n"/>
      <c r="D78" s="412" t="n"/>
      <c r="E78" s="412" t="n"/>
      <c r="F78" s="412" t="n"/>
      <c r="G78" s="419" t="n"/>
      <c r="H78" s="417" t="n"/>
      <c r="I78" s="416" t="n"/>
      <c r="J78" s="418" t="n"/>
      <c r="K78" s="418" t="n"/>
      <c r="L78" s="410" t="n"/>
      <c r="M78" s="410" t="n"/>
      <c r="N78" s="410" t="n"/>
      <c r="O78" s="409" t="n"/>
      <c r="P78" s="410" t="n"/>
      <c r="Q78" s="410" t="n"/>
      <c r="R78" s="410" t="n"/>
      <c r="S78" s="413" t="n"/>
      <c r="T78" s="410" t="n"/>
      <c r="U78" s="410" t="n"/>
      <c r="V78" s="410" t="n"/>
      <c r="W78" s="410" t="n"/>
      <c r="X78" s="410" t="n"/>
      <c r="Y78" s="410" t="n"/>
      <c r="Z78" s="411" t="n"/>
      <c r="AA78" s="411" t="n"/>
    </row>
    <row r="79" ht="20.25" customHeight="1">
      <c r="A79" s="405" t="n"/>
      <c r="B79" s="406" t="n"/>
      <c r="C79" s="412" t="n"/>
      <c r="D79" s="412" t="n"/>
      <c r="E79" s="412" t="n"/>
      <c r="F79" s="412" t="n"/>
      <c r="G79" s="419" t="n"/>
      <c r="H79" s="417" t="n"/>
      <c r="I79" s="416" t="n"/>
      <c r="J79" s="418" t="n"/>
      <c r="K79" s="418" t="n"/>
      <c r="L79" s="410" t="n"/>
      <c r="M79" s="410" t="n"/>
      <c r="N79" s="410" t="n"/>
      <c r="O79" s="409" t="n"/>
      <c r="P79" s="410" t="n"/>
      <c r="Q79" s="410" t="n"/>
      <c r="R79" s="410" t="n"/>
      <c r="S79" s="413" t="n"/>
      <c r="T79" s="410" t="n"/>
      <c r="U79" s="410" t="n"/>
      <c r="V79" s="410" t="n"/>
      <c r="W79" s="410" t="n"/>
      <c r="X79" s="410" t="n"/>
      <c r="Y79" s="410" t="n"/>
      <c r="Z79" s="411" t="n"/>
      <c r="AA79" s="411" t="n"/>
    </row>
    <row r="80" ht="20.25" customHeight="1">
      <c r="A80" s="405" t="n"/>
      <c r="B80" s="406" t="n"/>
      <c r="C80" s="412" t="n"/>
      <c r="D80" s="412" t="n"/>
      <c r="E80" s="412" t="n"/>
      <c r="F80" s="412" t="n"/>
      <c r="G80" s="419" t="n"/>
      <c r="H80" s="417" t="n"/>
      <c r="I80" s="416" t="n"/>
      <c r="J80" s="418" t="n"/>
      <c r="K80" s="418" t="n"/>
      <c r="L80" s="410" t="n"/>
      <c r="M80" s="410" t="n"/>
      <c r="N80" s="410" t="n"/>
      <c r="O80" s="409" t="n"/>
      <c r="P80" s="410" t="n"/>
      <c r="Q80" s="410" t="n"/>
      <c r="R80" s="410" t="n"/>
      <c r="S80" s="413" t="n"/>
      <c r="T80" s="410" t="n"/>
      <c r="U80" s="410" t="n"/>
      <c r="V80" s="410" t="n"/>
      <c r="W80" s="410" t="n"/>
      <c r="X80" s="410" t="n"/>
      <c r="Y80" s="410" t="n"/>
      <c r="Z80" s="411" t="n"/>
      <c r="AA80" s="411" t="n"/>
    </row>
    <row r="81" ht="20.25" customHeight="1">
      <c r="A81" s="405" t="n"/>
      <c r="B81" s="406" t="n"/>
      <c r="C81" s="412" t="n"/>
      <c r="D81" s="412" t="n"/>
      <c r="E81" s="412" t="n"/>
      <c r="F81" s="412" t="n"/>
      <c r="G81" s="419" t="n"/>
      <c r="H81" s="417" t="n"/>
      <c r="I81" s="416" t="n"/>
      <c r="J81" s="418" t="n"/>
      <c r="K81" s="418" t="n"/>
      <c r="L81" s="410" t="n"/>
      <c r="M81" s="410" t="n"/>
      <c r="N81" s="410" t="n"/>
      <c r="O81" s="409" t="n"/>
      <c r="P81" s="410" t="n"/>
      <c r="Q81" s="410" t="n"/>
      <c r="R81" s="410" t="n"/>
      <c r="S81" s="413" t="n"/>
      <c r="T81" s="410" t="n"/>
      <c r="U81" s="410" t="n"/>
      <c r="V81" s="410" t="n"/>
      <c r="W81" s="410" t="n"/>
      <c r="X81" s="410" t="n"/>
      <c r="Y81" s="410" t="n"/>
      <c r="Z81" s="411" t="n"/>
      <c r="AA81" s="411" t="n"/>
    </row>
    <row r="82" ht="20.25" customHeight="1">
      <c r="A82" s="405" t="n"/>
      <c r="B82" s="406" t="n"/>
      <c r="C82" s="412" t="n"/>
      <c r="D82" s="412" t="n"/>
      <c r="E82" s="412" t="n"/>
      <c r="F82" s="412" t="n"/>
      <c r="G82" s="416" t="n"/>
      <c r="H82" s="417" t="n"/>
      <c r="I82" s="416" t="n"/>
      <c r="J82" s="418" t="n"/>
      <c r="K82" s="418" t="n"/>
      <c r="L82" s="410" t="n"/>
      <c r="M82" s="410" t="n"/>
      <c r="N82" s="410" t="n"/>
      <c r="O82" s="409" t="n"/>
      <c r="P82" s="410" t="n"/>
      <c r="Q82" s="410" t="n"/>
      <c r="R82" s="410" t="n"/>
      <c r="S82" s="413" t="n"/>
      <c r="T82" s="410" t="n"/>
      <c r="U82" s="410" t="n"/>
      <c r="V82" s="410" t="n"/>
      <c r="W82" s="410" t="n"/>
      <c r="X82" s="410" t="n"/>
      <c r="Y82" s="410" t="n"/>
      <c r="Z82" s="411" t="n"/>
      <c r="AA82" s="411" t="n"/>
    </row>
    <row r="83" ht="20.25" customHeight="1">
      <c r="A83" s="405" t="n"/>
      <c r="B83" s="406" t="n"/>
      <c r="C83" s="412" t="n"/>
      <c r="D83" s="412" t="n"/>
      <c r="E83" s="412" t="n"/>
      <c r="F83" s="412" t="n"/>
      <c r="G83" s="420" t="n"/>
      <c r="H83" s="421" t="n"/>
      <c r="I83" s="420" t="n"/>
      <c r="J83" s="422" t="n"/>
      <c r="K83" s="422" t="n"/>
      <c r="L83" s="410" t="n"/>
      <c r="M83" s="410" t="n"/>
      <c r="N83" s="410" t="n"/>
      <c r="O83" s="409" t="n"/>
      <c r="P83" s="410" t="n"/>
      <c r="Q83" s="410" t="n"/>
      <c r="R83" s="410" t="n"/>
      <c r="S83" s="413" t="n"/>
      <c r="T83" s="410" t="n"/>
      <c r="U83" s="410" t="n"/>
      <c r="V83" s="410" t="n"/>
      <c r="W83" s="410" t="n"/>
      <c r="X83" s="410" t="n"/>
      <c r="Y83" s="410" t="n"/>
      <c r="Z83" s="411" t="n"/>
      <c r="AA83" s="411" t="n"/>
    </row>
    <row r="84" ht="20.25" customHeight="1">
      <c r="A84" s="405" t="n"/>
      <c r="B84" s="406" t="n"/>
      <c r="C84" s="412" t="n"/>
      <c r="D84" s="423" t="n"/>
      <c r="E84" s="423" t="n"/>
      <c r="F84" s="423" t="n"/>
      <c r="G84" s="420" t="n"/>
      <c r="H84" s="421" t="n"/>
      <c r="I84" s="420" t="n"/>
      <c r="J84" s="422" t="n"/>
      <c r="K84" s="422" t="n"/>
      <c r="L84" s="410" t="n"/>
      <c r="M84" s="410" t="n"/>
      <c r="N84" s="410" t="n"/>
      <c r="O84" s="409" t="n"/>
      <c r="P84" s="410" t="n"/>
      <c r="Q84" s="410" t="n"/>
      <c r="R84" s="410" t="n"/>
      <c r="S84" s="413" t="n"/>
      <c r="T84" s="410" t="n"/>
      <c r="U84" s="410" t="n"/>
      <c r="V84" s="410" t="n"/>
      <c r="W84" s="410" t="n"/>
      <c r="X84" s="410" t="n"/>
      <c r="Y84" s="410" t="n"/>
      <c r="Z84" s="411" t="n"/>
      <c r="AA84" s="411" t="n"/>
    </row>
    <row r="85" ht="20.25" customHeight="1">
      <c r="A85" s="405" t="n"/>
      <c r="B85" s="424">
        <f>'RPD03'!K36</f>
        <v/>
      </c>
      <c r="C85" s="412" t="n"/>
      <c r="D85" s="407" t="n"/>
      <c r="E85" s="407" t="n"/>
      <c r="F85" s="407" t="n"/>
      <c r="G85" s="416" t="n"/>
      <c r="H85" s="417" t="n"/>
      <c r="I85" s="416" t="n"/>
      <c r="J85" s="418" t="n"/>
      <c r="K85" s="418" t="n"/>
      <c r="L85" s="410" t="n"/>
      <c r="M85" s="410" t="n"/>
      <c r="N85" s="410" t="n"/>
      <c r="O85" s="409" t="n"/>
      <c r="P85" s="410" t="n"/>
      <c r="Q85" s="410" t="n"/>
      <c r="R85" s="410" t="n"/>
      <c r="S85" s="425">
        <f>'03A-1'!B33</f>
        <v/>
      </c>
      <c r="T85" s="410" t="n"/>
      <c r="U85" s="410" t="n"/>
      <c r="V85" s="410" t="n"/>
      <c r="W85" s="410" t="n"/>
      <c r="X85" s="410" t="n"/>
      <c r="Y85" s="410" t="n"/>
      <c r="Z85" s="411" t="n"/>
      <c r="AA85" s="411" t="n"/>
    </row>
    <row r="86">
      <c r="A86" s="405" t="n"/>
      <c r="B86" s="426" t="n"/>
      <c r="C86" s="405" t="n"/>
      <c r="D86" s="405" t="n"/>
      <c r="E86" s="405" t="n"/>
      <c r="F86" s="405" t="n"/>
      <c r="G86" s="427" t="n"/>
      <c r="H86" s="428" t="n"/>
      <c r="I86" s="427" t="n"/>
      <c r="J86" s="429" t="n"/>
      <c r="K86" s="429" t="n"/>
    </row>
    <row r="87">
      <c r="A87" s="405" t="n"/>
      <c r="B87" s="405" t="n"/>
      <c r="C87" s="405" t="n"/>
      <c r="D87" s="405" t="n"/>
      <c r="E87" s="405" t="n"/>
      <c r="F87" s="405" t="n"/>
      <c r="G87" s="320" t="n"/>
    </row>
    <row r="88">
      <c r="A88" s="405" t="n"/>
      <c r="B88" s="405" t="n"/>
      <c r="C88" s="405" t="n"/>
      <c r="D88" s="405" t="n"/>
      <c r="E88" s="405" t="n"/>
      <c r="F88" s="405" t="n"/>
      <c r="G88" s="320" t="n"/>
    </row>
    <row r="89">
      <c r="A89" s="405" t="n"/>
      <c r="B89" s="405" t="n"/>
      <c r="C89" s="405" t="n"/>
      <c r="D89" s="405" t="n"/>
      <c r="E89" s="405" t="n"/>
      <c r="F89" s="405" t="n"/>
      <c r="G89" s="430" t="n"/>
    </row>
    <row r="90">
      <c r="A90" s="405" t="n"/>
      <c r="B90" s="405" t="n"/>
      <c r="C90" s="405" t="n"/>
      <c r="D90" s="405" t="n"/>
      <c r="E90" s="405" t="n"/>
      <c r="F90" s="405" t="n"/>
      <c r="G90" s="320" t="n"/>
    </row>
    <row r="91">
      <c r="A91" s="405" t="n"/>
      <c r="B91" s="405" t="n"/>
      <c r="C91" s="405" t="n"/>
      <c r="D91" s="405" t="n"/>
      <c r="E91" s="405" t="n"/>
      <c r="F91" s="405" t="n"/>
      <c r="G91" s="320" t="n"/>
    </row>
    <row r="92">
      <c r="A92" s="405" t="n"/>
      <c r="B92" s="405" t="n"/>
      <c r="C92" s="405" t="n"/>
      <c r="D92" s="405" t="n"/>
      <c r="E92" s="405" t="n"/>
      <c r="F92" s="405" t="n"/>
      <c r="G92" s="320" t="n"/>
    </row>
    <row r="93">
      <c r="A93" s="405" t="n"/>
      <c r="B93" s="405" t="n"/>
      <c r="C93" s="405" t="n"/>
      <c r="D93" s="405" t="n"/>
      <c r="E93" s="405" t="n"/>
      <c r="F93" s="405" t="n"/>
      <c r="G93" s="320" t="n"/>
    </row>
    <row r="94">
      <c r="A94" s="405" t="n"/>
      <c r="B94" s="405" t="n"/>
      <c r="C94" s="405" t="n"/>
      <c r="D94" s="405" t="n"/>
      <c r="E94" s="405" t="n"/>
      <c r="F94" s="405" t="n"/>
    </row>
    <row r="95">
      <c r="A95" s="405" t="n"/>
      <c r="B95" s="405" t="n"/>
      <c r="C95" s="405" t="n"/>
      <c r="D95" s="405" t="n"/>
      <c r="E95" s="405" t="n"/>
      <c r="F95" s="405" t="n"/>
      <c r="G95" s="431" t="n"/>
    </row>
    <row r="96">
      <c r="A96" s="405" t="n"/>
      <c r="B96" s="405" t="n"/>
      <c r="C96" s="405" t="n"/>
      <c r="D96" s="405" t="n"/>
      <c r="E96" s="405" t="n"/>
      <c r="F96" s="405" t="n"/>
      <c r="G96" s="320" t="n"/>
    </row>
    <row r="97">
      <c r="A97" s="405" t="n"/>
      <c r="B97" s="405" t="n"/>
      <c r="C97" s="405" t="n"/>
      <c r="D97" s="405" t="n"/>
      <c r="E97" s="405" t="n"/>
      <c r="F97" s="405" t="n"/>
      <c r="G97" s="320" t="n"/>
    </row>
    <row r="98">
      <c r="A98" s="405" t="n"/>
      <c r="B98" s="405" t="n"/>
      <c r="C98" s="405" t="n"/>
      <c r="D98" s="405" t="n"/>
      <c r="E98" s="405" t="n"/>
      <c r="F98" s="405" t="n"/>
      <c r="G98" s="320" t="n"/>
    </row>
    <row r="99">
      <c r="A99" s="405" t="n"/>
      <c r="B99" s="405" t="n"/>
      <c r="C99" s="405" t="n"/>
      <c r="D99" s="405" t="n"/>
      <c r="E99" s="405" t="n"/>
      <c r="F99" s="405" t="n"/>
      <c r="G99" s="320" t="n"/>
    </row>
    <row r="100">
      <c r="A100" s="405" t="n"/>
      <c r="B100" s="405" t="n"/>
      <c r="C100" s="405" t="n"/>
      <c r="D100" s="405" t="n"/>
      <c r="E100" s="405" t="n"/>
      <c r="F100" s="405" t="n"/>
      <c r="G100" s="320" t="n"/>
    </row>
    <row r="101">
      <c r="A101" s="405" t="n"/>
      <c r="B101" s="405" t="n"/>
      <c r="C101" s="405" t="n"/>
      <c r="D101" s="405" t="n"/>
      <c r="E101" s="405" t="n"/>
      <c r="F101" s="405" t="n"/>
      <c r="G101" s="320" t="n"/>
    </row>
    <row r="102">
      <c r="A102" s="405" t="n"/>
      <c r="B102" s="405" t="n"/>
      <c r="C102" s="405" t="n"/>
      <c r="D102" s="405" t="n"/>
      <c r="E102" s="405" t="n"/>
      <c r="F102" s="405" t="n"/>
      <c r="G102" s="320" t="n"/>
    </row>
    <row r="103">
      <c r="A103" s="405" t="n"/>
      <c r="B103" s="405" t="n"/>
      <c r="C103" s="405" t="n"/>
      <c r="D103" s="405" t="n"/>
      <c r="E103" s="405" t="n"/>
      <c r="F103" s="405" t="n"/>
      <c r="G103" s="320" t="n"/>
    </row>
    <row r="104">
      <c r="A104" s="405" t="n"/>
      <c r="B104" s="405" t="n"/>
      <c r="C104" s="405" t="n"/>
      <c r="D104" s="405" t="n"/>
      <c r="E104" s="405" t="n"/>
      <c r="F104" s="405" t="n"/>
      <c r="G104" s="320" t="n"/>
    </row>
    <row r="105">
      <c r="A105" s="405" t="n"/>
      <c r="B105" s="405" t="n"/>
      <c r="C105" s="405" t="n"/>
      <c r="D105" s="405" t="n"/>
      <c r="E105" s="405" t="n"/>
      <c r="F105" s="405" t="n"/>
      <c r="G105" s="320" t="n"/>
    </row>
    <row r="106">
      <c r="A106" s="405" t="n"/>
      <c r="B106" s="405" t="n"/>
      <c r="C106" s="405" t="n"/>
      <c r="D106" s="405" t="n"/>
      <c r="E106" s="405" t="n"/>
      <c r="F106" s="405" t="n"/>
      <c r="G106" s="320" t="n"/>
    </row>
    <row r="107">
      <c r="A107" s="405" t="n"/>
      <c r="B107" s="405" t="n"/>
      <c r="C107" s="405" t="n"/>
      <c r="D107" s="405" t="n"/>
      <c r="E107" s="405" t="n"/>
      <c r="F107" s="405" t="n"/>
      <c r="G107" s="320" t="n"/>
    </row>
    <row r="108">
      <c r="A108" s="405" t="n"/>
      <c r="B108" s="405" t="n"/>
      <c r="C108" s="405" t="n"/>
      <c r="D108" s="405" t="n"/>
      <c r="E108" s="405" t="n"/>
      <c r="F108" s="405" t="n"/>
      <c r="G108" s="320" t="n"/>
    </row>
    <row r="109">
      <c r="A109" s="405" t="n"/>
      <c r="B109" s="405" t="n"/>
      <c r="C109" s="405" t="n"/>
      <c r="D109" s="405" t="n"/>
      <c r="E109" s="405" t="n"/>
      <c r="F109" s="405" t="n"/>
      <c r="G109" s="320" t="n"/>
    </row>
    <row r="110">
      <c r="A110" s="405" t="n"/>
      <c r="B110" s="405" t="n"/>
      <c r="C110" s="405" t="n"/>
      <c r="D110" s="405" t="n"/>
      <c r="E110" s="405" t="n"/>
      <c r="F110" s="405" t="n"/>
      <c r="G110" s="320" t="n"/>
    </row>
    <row r="111">
      <c r="A111" s="405" t="n"/>
      <c r="B111" s="405" t="n"/>
      <c r="C111" s="405" t="n"/>
      <c r="D111" s="405" t="n"/>
      <c r="E111" s="405" t="n"/>
      <c r="F111" s="405" t="n"/>
      <c r="G111" s="320" t="n"/>
    </row>
    <row r="112">
      <c r="A112" s="405" t="n"/>
      <c r="B112" s="405" t="n"/>
      <c r="C112" s="405" t="n"/>
      <c r="D112" s="405" t="n"/>
      <c r="E112" s="405" t="n"/>
      <c r="F112" s="405" t="n"/>
      <c r="G112" s="320" t="n"/>
    </row>
    <row r="113">
      <c r="A113" s="405" t="n"/>
      <c r="B113" s="405" t="n"/>
      <c r="C113" s="405" t="n"/>
      <c r="D113" s="405" t="n"/>
      <c r="E113" s="405" t="n"/>
      <c r="F113" s="405" t="n"/>
      <c r="G113" s="320" t="n"/>
    </row>
    <row r="114">
      <c r="A114" s="405" t="n"/>
      <c r="B114" s="405" t="n"/>
      <c r="C114" s="405" t="n"/>
      <c r="D114" s="405" t="n"/>
      <c r="E114" s="405" t="n"/>
      <c r="F114" s="405" t="n"/>
      <c r="G114" s="320" t="n"/>
    </row>
    <row r="115">
      <c r="A115" s="405" t="n"/>
      <c r="B115" s="405" t="n"/>
      <c r="C115" s="405" t="n"/>
      <c r="D115" s="405" t="n"/>
      <c r="E115" s="405" t="n"/>
      <c r="F115" s="405" t="n"/>
      <c r="G115" s="320" t="n"/>
    </row>
    <row r="116">
      <c r="A116" s="405" t="n"/>
      <c r="B116" s="405" t="n"/>
      <c r="C116" s="405" t="n"/>
      <c r="D116" s="405" t="n"/>
      <c r="E116" s="405" t="n"/>
      <c r="F116" s="405" t="n"/>
      <c r="G116" s="320" t="n"/>
    </row>
    <row r="117">
      <c r="A117" s="405" t="n"/>
      <c r="B117" s="405" t="n"/>
      <c r="C117" s="405" t="n"/>
      <c r="D117" s="405" t="n"/>
      <c r="E117" s="405" t="n"/>
      <c r="F117" s="405" t="n"/>
      <c r="G117" s="320" t="n"/>
    </row>
    <row r="118">
      <c r="A118" s="405" t="n"/>
      <c r="B118" s="405" t="n"/>
      <c r="C118" s="405" t="n"/>
      <c r="D118" s="405" t="n"/>
      <c r="E118" s="405" t="n"/>
      <c r="F118" s="405" t="n"/>
      <c r="G118" s="320" t="n"/>
    </row>
    <row r="119">
      <c r="A119" s="405" t="n"/>
      <c r="B119" s="405" t="n"/>
      <c r="C119" s="405" t="n"/>
      <c r="D119" s="405" t="n"/>
      <c r="E119" s="405" t="n"/>
      <c r="F119" s="405" t="n"/>
      <c r="G119" s="320" t="n"/>
    </row>
    <row r="120">
      <c r="A120" s="405" t="n"/>
      <c r="B120" s="405" t="n"/>
      <c r="C120" s="405" t="n"/>
      <c r="D120" s="405" t="n"/>
      <c r="E120" s="405" t="n"/>
      <c r="F120" s="405" t="n"/>
      <c r="G120" s="320" t="n"/>
    </row>
    <row r="121">
      <c r="A121" s="405" t="n"/>
      <c r="B121" s="405" t="n"/>
      <c r="C121" s="405" t="n"/>
      <c r="D121" s="405" t="n"/>
      <c r="E121" s="405" t="n"/>
      <c r="F121" s="405" t="n"/>
      <c r="G121" s="320" t="n"/>
    </row>
    <row r="122">
      <c r="A122" s="405" t="n"/>
      <c r="B122" s="405" t="n"/>
      <c r="C122" s="405" t="n"/>
      <c r="D122" s="405" t="n"/>
      <c r="E122" s="405" t="n"/>
      <c r="F122" s="405" t="n"/>
      <c r="G122" s="320" t="n"/>
    </row>
    <row r="123">
      <c r="A123" s="405" t="n"/>
      <c r="B123" s="405" t="n"/>
      <c r="C123" s="405" t="n"/>
      <c r="D123" s="405" t="n"/>
      <c r="E123" s="405" t="n"/>
      <c r="F123" s="405" t="n"/>
      <c r="G123" s="320" t="n"/>
    </row>
    <row r="124">
      <c r="A124" s="405" t="n"/>
      <c r="B124" s="405" t="n"/>
      <c r="C124" s="405" t="n"/>
      <c r="D124" s="405" t="n"/>
      <c r="E124" s="405" t="n"/>
      <c r="F124" s="405" t="n"/>
      <c r="G124" s="320" t="n"/>
    </row>
    <row r="125">
      <c r="A125" s="405" t="n"/>
      <c r="B125" s="405" t="n"/>
      <c r="C125" s="405" t="n"/>
      <c r="D125" s="405" t="n"/>
      <c r="E125" s="405" t="n"/>
      <c r="F125" s="405" t="n"/>
      <c r="G125" s="320" t="n"/>
    </row>
    <row r="126">
      <c r="A126" s="405" t="n"/>
      <c r="B126" s="405" t="n"/>
      <c r="C126" s="405" t="n"/>
      <c r="D126" s="405" t="n"/>
      <c r="E126" s="405" t="n"/>
      <c r="F126" s="405" t="n"/>
      <c r="G126" s="320" t="n"/>
    </row>
    <row r="127">
      <c r="A127" s="405" t="n"/>
      <c r="B127" s="405" t="n"/>
      <c r="C127" s="405" t="n"/>
      <c r="D127" s="405" t="n"/>
      <c r="E127" s="405" t="n"/>
      <c r="F127" s="405" t="n"/>
      <c r="G127" s="320" t="n"/>
    </row>
    <row r="128">
      <c r="A128" s="405" t="n"/>
      <c r="B128" s="405" t="n"/>
      <c r="C128" s="405" t="n"/>
      <c r="D128" s="405" t="n"/>
      <c r="E128" s="405" t="n"/>
      <c r="F128" s="405" t="n"/>
      <c r="G128" s="320" t="n"/>
    </row>
    <row r="129">
      <c r="A129" s="405" t="n"/>
      <c r="B129" s="405" t="n"/>
      <c r="C129" s="405" t="n"/>
      <c r="D129" s="405" t="n"/>
      <c r="E129" s="405" t="n"/>
      <c r="F129" s="405" t="n"/>
      <c r="G129" s="320" t="n"/>
    </row>
    <row r="130">
      <c r="A130" s="405" t="n"/>
      <c r="B130" s="405" t="n"/>
      <c r="C130" s="405" t="n"/>
      <c r="D130" s="405" t="n"/>
      <c r="E130" s="405" t="n"/>
      <c r="F130" s="405" t="n"/>
      <c r="G130" s="320" t="n"/>
    </row>
    <row r="131">
      <c r="A131" s="405" t="n"/>
      <c r="B131" s="405" t="n"/>
      <c r="C131" s="405" t="n"/>
      <c r="D131" s="405" t="n"/>
      <c r="E131" s="405" t="n"/>
      <c r="F131" s="405" t="n"/>
      <c r="G131" s="320" t="n"/>
    </row>
    <row r="132">
      <c r="A132" s="405" t="n"/>
      <c r="B132" s="405" t="n"/>
      <c r="C132" s="405" t="n"/>
      <c r="D132" s="405" t="n"/>
      <c r="E132" s="405" t="n"/>
      <c r="F132" s="405" t="n"/>
      <c r="G132" s="320" t="n"/>
    </row>
    <row r="133">
      <c r="A133" s="405" t="n"/>
      <c r="B133" s="405" t="n"/>
      <c r="C133" s="405" t="n"/>
      <c r="D133" s="405" t="n"/>
      <c r="E133" s="405" t="n"/>
      <c r="F133" s="405" t="n"/>
      <c r="G133" s="320" t="n"/>
    </row>
    <row r="134">
      <c r="A134" s="405" t="n"/>
      <c r="B134" s="405" t="n"/>
      <c r="C134" s="405" t="n"/>
      <c r="D134" s="405" t="n"/>
      <c r="E134" s="405" t="n"/>
      <c r="F134" s="405" t="n"/>
      <c r="G134" s="320" t="n"/>
    </row>
    <row r="135">
      <c r="A135" s="405" t="n"/>
      <c r="B135" s="405" t="n"/>
      <c r="C135" s="405" t="n"/>
      <c r="D135" s="405" t="n"/>
      <c r="E135" s="405" t="n"/>
      <c r="F135" s="405" t="n"/>
      <c r="G135" s="320" t="n"/>
    </row>
    <row r="136">
      <c r="A136" s="405" t="n"/>
      <c r="B136" s="405" t="n"/>
      <c r="C136" s="405" t="n"/>
      <c r="D136" s="405" t="n"/>
      <c r="E136" s="405" t="n"/>
      <c r="F136" s="405" t="n"/>
      <c r="G136" s="320" t="n"/>
    </row>
    <row r="137">
      <c r="A137" s="405" t="n"/>
      <c r="B137" s="405" t="n"/>
      <c r="C137" s="405" t="n"/>
      <c r="D137" s="405" t="n"/>
      <c r="E137" s="405" t="n"/>
      <c r="F137" s="405" t="n"/>
      <c r="G137" s="320" t="n"/>
    </row>
    <row r="138">
      <c r="A138" s="405" t="n"/>
      <c r="B138" s="405" t="n"/>
      <c r="C138" s="405" t="n"/>
      <c r="D138" s="405" t="n"/>
      <c r="E138" s="405" t="n"/>
      <c r="F138" s="405" t="n"/>
      <c r="G138" s="320" t="n"/>
    </row>
    <row r="139">
      <c r="A139" s="405" t="n"/>
      <c r="B139" s="405" t="n"/>
      <c r="C139" s="405" t="n"/>
      <c r="D139" s="405" t="n"/>
      <c r="E139" s="405" t="n"/>
      <c r="F139" s="405" t="n"/>
      <c r="G139" s="320" t="n"/>
    </row>
    <row r="140">
      <c r="A140" s="405" t="n"/>
      <c r="B140" s="405" t="n"/>
      <c r="C140" s="405" t="n"/>
      <c r="D140" s="405" t="n"/>
      <c r="E140" s="405" t="n"/>
      <c r="F140" s="405" t="n"/>
      <c r="G140" s="320" t="n"/>
    </row>
    <row r="141">
      <c r="A141" s="405" t="n"/>
      <c r="B141" s="405" t="n"/>
      <c r="C141" s="405" t="n"/>
      <c r="D141" s="405" t="n"/>
      <c r="E141" s="405" t="n"/>
      <c r="F141" s="405" t="n"/>
      <c r="G141" s="320" t="n"/>
    </row>
    <row r="142">
      <c r="A142" s="405" t="n"/>
      <c r="B142" s="405" t="n"/>
      <c r="C142" s="405" t="n"/>
      <c r="D142" s="405" t="n"/>
      <c r="E142" s="405" t="n"/>
      <c r="F142" s="405" t="n"/>
      <c r="G142" s="320" t="n"/>
    </row>
    <row r="143">
      <c r="A143" s="405" t="n"/>
      <c r="B143" s="405" t="n"/>
      <c r="C143" s="405" t="n"/>
      <c r="D143" s="405" t="n"/>
      <c r="E143" s="405" t="n"/>
      <c r="F143" s="405" t="n"/>
      <c r="G143" s="320" t="n"/>
    </row>
    <row r="144">
      <c r="A144" s="405" t="n"/>
      <c r="B144" s="405" t="n"/>
      <c r="C144" s="405" t="n"/>
      <c r="D144" s="405" t="n"/>
      <c r="E144" s="405" t="n"/>
      <c r="F144" s="405" t="n"/>
      <c r="G144" s="320" t="n"/>
    </row>
    <row r="145">
      <c r="A145" s="405" t="n"/>
      <c r="B145" s="405" t="n"/>
      <c r="C145" s="405" t="n"/>
      <c r="D145" s="405" t="n"/>
      <c r="E145" s="405" t="n"/>
      <c r="F145" s="405" t="n"/>
      <c r="G145" s="320" t="n"/>
    </row>
    <row r="146">
      <c r="A146" s="405" t="n"/>
      <c r="B146" s="405" t="n"/>
      <c r="C146" s="405" t="n"/>
      <c r="D146" s="405" t="n"/>
      <c r="E146" s="405" t="n"/>
      <c r="F146" s="405" t="n"/>
      <c r="G146" s="320" t="n"/>
    </row>
    <row r="147">
      <c r="A147" s="405" t="n"/>
      <c r="B147" s="405" t="n"/>
      <c r="C147" s="405" t="n"/>
      <c r="D147" s="405" t="n"/>
      <c r="E147" s="405" t="n"/>
      <c r="F147" s="405" t="n"/>
      <c r="G147" s="320" t="n"/>
    </row>
    <row r="148">
      <c r="A148" s="405" t="n"/>
      <c r="B148" s="405" t="n"/>
      <c r="C148" s="405" t="n"/>
      <c r="D148" s="405" t="n"/>
      <c r="E148" s="405" t="n"/>
      <c r="F148" s="405" t="n"/>
      <c r="G148" s="320" t="n"/>
    </row>
    <row r="149">
      <c r="A149" s="405" t="n"/>
      <c r="B149" s="405" t="n"/>
      <c r="C149" s="405" t="n"/>
      <c r="D149" s="405" t="n"/>
      <c r="E149" s="405" t="n"/>
      <c r="F149" s="405" t="n"/>
      <c r="G149" s="320" t="n"/>
    </row>
    <row r="150">
      <c r="A150" s="405" t="n"/>
      <c r="B150" s="405" t="n"/>
      <c r="C150" s="405" t="n"/>
      <c r="D150" s="405" t="n"/>
      <c r="E150" s="405" t="n"/>
      <c r="F150" s="405" t="n"/>
      <c r="G150" s="320" t="n"/>
    </row>
    <row r="151">
      <c r="A151" s="405" t="n"/>
      <c r="B151" s="405" t="n"/>
      <c r="C151" s="405" t="n"/>
      <c r="D151" s="405" t="n"/>
      <c r="E151" s="405" t="n"/>
      <c r="F151" s="405" t="n"/>
      <c r="G151" s="320" t="n"/>
    </row>
    <row r="152">
      <c r="A152" s="405" t="n"/>
      <c r="B152" s="405" t="n"/>
      <c r="C152" s="405" t="n"/>
      <c r="D152" s="405" t="n"/>
      <c r="E152" s="405" t="n"/>
      <c r="F152" s="405" t="n"/>
      <c r="G152" s="320" t="n"/>
    </row>
    <row r="153">
      <c r="A153" s="405" t="n"/>
      <c r="B153" s="405" t="n"/>
      <c r="C153" s="405" t="n"/>
      <c r="D153" s="405" t="n"/>
      <c r="E153" s="405" t="n"/>
      <c r="F153" s="405" t="n"/>
      <c r="G153" s="320" t="n"/>
    </row>
    <row r="154">
      <c r="A154" s="405" t="n"/>
      <c r="B154" s="405" t="n"/>
      <c r="C154" s="405" t="n"/>
      <c r="D154" s="405" t="n"/>
      <c r="E154" s="405" t="n"/>
      <c r="F154" s="405" t="n"/>
      <c r="G154" s="320" t="n"/>
    </row>
    <row r="155">
      <c r="A155" s="405" t="n"/>
      <c r="B155" s="405" t="n"/>
      <c r="C155" s="405" t="n"/>
      <c r="D155" s="405" t="n"/>
      <c r="E155" s="405" t="n"/>
      <c r="F155" s="405" t="n"/>
      <c r="G155" s="320" t="n"/>
    </row>
    <row r="156">
      <c r="A156" s="405" t="n"/>
      <c r="B156" s="405" t="n"/>
      <c r="C156" s="405" t="n"/>
      <c r="D156" s="405" t="n"/>
      <c r="E156" s="405" t="n"/>
      <c r="F156" s="405" t="n"/>
      <c r="G156" s="320" t="n"/>
    </row>
    <row r="157">
      <c r="A157" s="405" t="n"/>
      <c r="B157" s="405" t="n"/>
      <c r="C157" s="405" t="n"/>
      <c r="D157" s="405" t="n"/>
      <c r="E157" s="405" t="n"/>
      <c r="F157" s="405" t="n"/>
      <c r="G157" s="320" t="n"/>
    </row>
    <row r="158">
      <c r="A158" s="405" t="n"/>
      <c r="B158" s="405" t="n"/>
      <c r="C158" s="405" t="n"/>
      <c r="D158" s="405" t="n"/>
      <c r="E158" s="405" t="n"/>
      <c r="F158" s="405" t="n"/>
      <c r="G158" s="320" t="n"/>
    </row>
    <row r="159">
      <c r="A159" s="405" t="n"/>
      <c r="B159" s="405" t="n"/>
      <c r="C159" s="405" t="n"/>
      <c r="D159" s="405" t="n"/>
      <c r="E159" s="405" t="n"/>
      <c r="F159" s="405" t="n"/>
      <c r="G159" s="320" t="n"/>
    </row>
    <row r="160">
      <c r="A160" s="405" t="n"/>
      <c r="B160" s="405" t="n"/>
      <c r="C160" s="405" t="n"/>
      <c r="D160" s="405" t="n"/>
      <c r="E160" s="405" t="n"/>
      <c r="F160" s="405" t="n"/>
      <c r="G160" s="320" t="n"/>
    </row>
    <row r="161">
      <c r="A161" s="405" t="n"/>
      <c r="B161" s="405" t="n"/>
      <c r="C161" s="405" t="n"/>
      <c r="D161" s="405" t="n"/>
      <c r="E161" s="405" t="n"/>
      <c r="F161" s="405" t="n"/>
      <c r="G161" s="320" t="n"/>
    </row>
    <row r="162">
      <c r="A162" s="405" t="n"/>
      <c r="B162" s="405" t="n"/>
      <c r="C162" s="405" t="n"/>
      <c r="D162" s="405" t="n"/>
      <c r="E162" s="405" t="n"/>
      <c r="F162" s="405" t="n"/>
      <c r="G162" s="320" t="n"/>
    </row>
    <row r="163">
      <c r="A163" s="405" t="n"/>
      <c r="B163" s="405" t="n"/>
      <c r="C163" s="405" t="n"/>
      <c r="D163" s="405" t="n"/>
      <c r="E163" s="405" t="n"/>
      <c r="F163" s="405" t="n"/>
      <c r="G163" s="320" t="n"/>
    </row>
    <row r="164">
      <c r="A164" s="405" t="n"/>
      <c r="B164" s="405" t="n"/>
      <c r="C164" s="405" t="n"/>
      <c r="D164" s="405" t="n"/>
      <c r="E164" s="405" t="n"/>
      <c r="F164" s="405" t="n"/>
      <c r="G164" s="320" t="n"/>
    </row>
    <row r="165">
      <c r="A165" s="405" t="n"/>
      <c r="B165" s="405" t="n"/>
      <c r="C165" s="405" t="n"/>
      <c r="D165" s="405" t="n"/>
      <c r="E165" s="405" t="n"/>
      <c r="F165" s="405" t="n"/>
      <c r="G165" s="320" t="n"/>
    </row>
    <row r="166">
      <c r="A166" s="405" t="n"/>
      <c r="B166" s="405" t="n"/>
      <c r="C166" s="405" t="n"/>
      <c r="D166" s="405" t="n"/>
      <c r="E166" s="405" t="n"/>
      <c r="F166" s="405" t="n"/>
      <c r="G166" s="320" t="n"/>
    </row>
    <row r="167">
      <c r="A167" s="405" t="n"/>
      <c r="B167" s="405" t="n"/>
      <c r="C167" s="405" t="n"/>
      <c r="D167" s="405" t="n"/>
      <c r="E167" s="405" t="n"/>
      <c r="F167" s="405" t="n"/>
      <c r="G167" s="320" t="n"/>
    </row>
    <row r="168">
      <c r="A168" s="405" t="n"/>
      <c r="B168" s="405" t="n"/>
      <c r="C168" s="405" t="n"/>
      <c r="D168" s="405" t="n"/>
      <c r="E168" s="405" t="n"/>
      <c r="F168" s="405" t="n"/>
      <c r="G168" s="320" t="n"/>
    </row>
    <row r="169">
      <c r="A169" s="405" t="n"/>
      <c r="B169" s="405" t="n"/>
      <c r="C169" s="405" t="n"/>
      <c r="D169" s="405" t="n"/>
      <c r="E169" s="405" t="n"/>
      <c r="F169" s="405" t="n"/>
      <c r="G169" s="320" t="n"/>
    </row>
    <row r="170">
      <c r="A170" s="405" t="n"/>
      <c r="B170" s="405" t="n"/>
      <c r="C170" s="405" t="n"/>
      <c r="D170" s="405" t="n"/>
      <c r="E170" s="405" t="n"/>
      <c r="F170" s="405" t="n"/>
      <c r="G170" s="320" t="n"/>
    </row>
    <row r="171">
      <c r="A171" s="405" t="n"/>
      <c r="B171" s="405" t="n"/>
      <c r="C171" s="405" t="n"/>
      <c r="D171" s="405" t="n"/>
      <c r="E171" s="405" t="n"/>
      <c r="F171" s="405" t="n"/>
      <c r="G171" s="320" t="n"/>
    </row>
    <row r="172">
      <c r="A172" s="405" t="n"/>
      <c r="B172" s="405" t="n"/>
      <c r="C172" s="405" t="n"/>
      <c r="D172" s="405" t="n"/>
      <c r="E172" s="405" t="n"/>
      <c r="F172" s="405" t="n"/>
      <c r="G172" s="320" t="n"/>
    </row>
    <row r="173">
      <c r="A173" s="405" t="n"/>
      <c r="B173" s="405" t="n"/>
      <c r="C173" s="405" t="n"/>
      <c r="D173" s="405" t="n"/>
      <c r="E173" s="405" t="n"/>
      <c r="F173" s="405" t="n"/>
      <c r="G173" s="320" t="n"/>
    </row>
    <row r="174">
      <c r="A174" s="405" t="n"/>
      <c r="B174" s="405" t="n"/>
      <c r="C174" s="405" t="n"/>
      <c r="D174" s="405" t="n"/>
      <c r="E174" s="405" t="n"/>
      <c r="F174" s="405" t="n"/>
      <c r="G174" s="320" t="n"/>
    </row>
    <row r="175">
      <c r="A175" s="405" t="n"/>
      <c r="B175" s="405" t="n"/>
      <c r="C175" s="405" t="n"/>
      <c r="D175" s="405" t="n"/>
      <c r="E175" s="405" t="n"/>
      <c r="F175" s="405" t="n"/>
      <c r="G175" s="320" t="n"/>
    </row>
    <row r="176">
      <c r="A176" s="405" t="n"/>
      <c r="B176" s="405" t="n"/>
      <c r="C176" s="405" t="n"/>
      <c r="D176" s="405" t="n"/>
      <c r="E176" s="405" t="n"/>
      <c r="F176" s="405" t="n"/>
      <c r="G176" s="320" t="n"/>
    </row>
    <row r="177">
      <c r="A177" s="405" t="n"/>
      <c r="B177" s="405" t="n"/>
      <c r="C177" s="405" t="n"/>
      <c r="D177" s="405" t="n"/>
      <c r="E177" s="405" t="n"/>
      <c r="F177" s="405" t="n"/>
      <c r="G177" s="320" t="n"/>
    </row>
    <row r="178">
      <c r="A178" s="405" t="n"/>
      <c r="B178" s="405" t="n"/>
      <c r="C178" s="405" t="n"/>
      <c r="D178" s="405" t="n"/>
      <c r="E178" s="405" t="n"/>
      <c r="F178" s="405" t="n"/>
      <c r="G178" s="320" t="n"/>
    </row>
    <row r="179">
      <c r="A179" s="405" t="n"/>
      <c r="B179" s="405" t="n"/>
      <c r="C179" s="405" t="n"/>
      <c r="D179" s="405" t="n"/>
      <c r="E179" s="405" t="n"/>
      <c r="F179" s="405" t="n"/>
      <c r="G179" s="320" t="n"/>
    </row>
    <row r="180">
      <c r="A180" s="405" t="n"/>
      <c r="B180" s="405" t="n"/>
      <c r="C180" s="405" t="n"/>
      <c r="D180" s="405" t="n"/>
      <c r="E180" s="405" t="n"/>
      <c r="F180" s="405" t="n"/>
      <c r="G180" s="320" t="n"/>
    </row>
    <row r="181">
      <c r="A181" s="405" t="n"/>
      <c r="B181" s="405" t="n"/>
      <c r="C181" s="405" t="n"/>
      <c r="D181" s="405" t="n"/>
      <c r="E181" s="405" t="n"/>
      <c r="F181" s="405" t="n"/>
      <c r="G181" s="320" t="n"/>
    </row>
    <row r="182">
      <c r="A182" s="405" t="n"/>
      <c r="B182" s="405" t="n"/>
      <c r="C182" s="405" t="n"/>
      <c r="D182" s="405" t="n"/>
      <c r="E182" s="405" t="n"/>
      <c r="F182" s="405" t="n"/>
      <c r="G182" s="320" t="n"/>
    </row>
    <row r="183">
      <c r="A183" s="405" t="n"/>
      <c r="B183" s="405" t="n"/>
      <c r="C183" s="405" t="n"/>
      <c r="D183" s="405" t="n"/>
      <c r="E183" s="405" t="n"/>
      <c r="F183" s="405" t="n"/>
      <c r="G183" s="320" t="n"/>
    </row>
    <row r="184">
      <c r="A184" s="405" t="n"/>
      <c r="B184" s="405" t="n"/>
      <c r="C184" s="405" t="n"/>
      <c r="D184" s="405" t="n"/>
      <c r="E184" s="405" t="n"/>
      <c r="F184" s="405" t="n"/>
      <c r="G184" s="320" t="n"/>
    </row>
    <row r="185">
      <c r="A185" s="405" t="n"/>
      <c r="B185" s="405" t="n"/>
      <c r="C185" s="405" t="n"/>
      <c r="D185" s="405" t="n"/>
      <c r="E185" s="405" t="n"/>
      <c r="F185" s="405" t="n"/>
      <c r="G185" s="320" t="n"/>
    </row>
    <row r="186">
      <c r="A186" s="405" t="n"/>
      <c r="B186" s="405" t="n"/>
      <c r="C186" s="405" t="n"/>
      <c r="D186" s="405" t="n"/>
      <c r="E186" s="405" t="n"/>
      <c r="F186" s="405" t="n"/>
      <c r="G186" s="320" t="n"/>
    </row>
    <row r="187">
      <c r="A187" s="405" t="n"/>
      <c r="B187" s="405" t="n"/>
      <c r="C187" s="405" t="n"/>
      <c r="D187" s="405" t="n"/>
      <c r="E187" s="405" t="n"/>
      <c r="F187" s="405" t="n"/>
      <c r="G187" s="320" t="n"/>
    </row>
    <row r="188">
      <c r="A188" s="405" t="n"/>
      <c r="B188" s="405" t="n"/>
      <c r="C188" s="405" t="n"/>
      <c r="D188" s="405" t="n"/>
      <c r="E188" s="405" t="n"/>
      <c r="F188" s="405" t="n"/>
      <c r="G188" s="320" t="n"/>
    </row>
    <row r="189">
      <c r="A189" s="405" t="n"/>
      <c r="B189" s="405" t="n"/>
      <c r="C189" s="405" t="n"/>
      <c r="D189" s="405" t="n"/>
      <c r="E189" s="405" t="n"/>
      <c r="F189" s="405" t="n"/>
      <c r="G189" s="320" t="n"/>
    </row>
    <row r="190">
      <c r="A190" s="405" t="n"/>
      <c r="B190" s="405" t="n"/>
      <c r="C190" s="405" t="n"/>
      <c r="D190" s="405" t="n"/>
      <c r="E190" s="405" t="n"/>
      <c r="F190" s="405" t="n"/>
      <c r="G190" s="320" t="n"/>
    </row>
    <row r="191">
      <c r="A191" s="405" t="n"/>
      <c r="B191" s="405" t="n"/>
      <c r="C191" s="405" t="n"/>
      <c r="D191" s="405" t="n"/>
      <c r="E191" s="405" t="n"/>
      <c r="F191" s="405" t="n"/>
      <c r="G191" s="320" t="n"/>
    </row>
    <row r="192">
      <c r="A192" s="405" t="n"/>
      <c r="B192" s="405" t="n"/>
      <c r="C192" s="405" t="n"/>
      <c r="D192" s="405" t="n"/>
      <c r="E192" s="405" t="n"/>
      <c r="F192" s="405" t="n"/>
      <c r="G192" s="320" t="n"/>
    </row>
    <row r="193">
      <c r="A193" s="405" t="n"/>
      <c r="B193" s="405" t="n"/>
      <c r="C193" s="405" t="n"/>
      <c r="D193" s="405" t="n"/>
      <c r="E193" s="405" t="n"/>
      <c r="F193" s="405" t="n"/>
      <c r="G193" s="320" t="n"/>
    </row>
    <row r="194">
      <c r="A194" s="405" t="n"/>
      <c r="B194" s="405" t="n"/>
      <c r="C194" s="405" t="n"/>
      <c r="D194" s="405" t="n"/>
      <c r="E194" s="405" t="n"/>
      <c r="F194" s="405" t="n"/>
      <c r="G194" s="320" t="n"/>
    </row>
    <row r="195">
      <c r="A195" s="405" t="n"/>
      <c r="B195" s="405" t="n"/>
      <c r="C195" s="405" t="n"/>
      <c r="D195" s="405" t="n"/>
      <c r="E195" s="405" t="n"/>
      <c r="F195" s="405" t="n"/>
      <c r="G195" s="320" t="n"/>
    </row>
    <row r="196">
      <c r="A196" s="405" t="n"/>
      <c r="B196" s="405" t="n"/>
      <c r="C196" s="405" t="n"/>
      <c r="D196" s="405" t="n"/>
      <c r="E196" s="405" t="n"/>
      <c r="F196" s="405" t="n"/>
      <c r="G196" s="320" t="n"/>
    </row>
    <row r="197">
      <c r="A197" s="405" t="n"/>
      <c r="B197" s="405" t="n"/>
      <c r="C197" s="405" t="n"/>
      <c r="D197" s="405" t="n"/>
      <c r="E197" s="405" t="n"/>
      <c r="F197" s="405" t="n"/>
      <c r="G197" s="320" t="n"/>
    </row>
    <row r="198">
      <c r="A198" s="405" t="n"/>
      <c r="B198" s="405" t="n"/>
      <c r="C198" s="405" t="n"/>
      <c r="D198" s="405" t="n"/>
      <c r="E198" s="405" t="n"/>
      <c r="F198" s="405" t="n"/>
      <c r="G198" s="320" t="n"/>
    </row>
    <row r="199">
      <c r="A199" s="405" t="n"/>
      <c r="B199" s="405" t="n"/>
      <c r="C199" s="405" t="n"/>
      <c r="D199" s="405" t="n"/>
      <c r="E199" s="405" t="n"/>
      <c r="F199" s="405" t="n"/>
      <c r="G199" s="320" t="n"/>
    </row>
    <row r="200">
      <c r="A200" s="405" t="n"/>
      <c r="B200" s="405" t="n"/>
      <c r="C200" s="405" t="n"/>
      <c r="D200" s="405" t="n"/>
      <c r="E200" s="405" t="n"/>
      <c r="F200" s="405" t="n"/>
      <c r="G200" s="320" t="n"/>
    </row>
    <row r="201">
      <c r="A201" s="405" t="n"/>
      <c r="B201" s="405" t="n"/>
      <c r="C201" s="405" t="n"/>
      <c r="D201" s="405" t="n"/>
      <c r="E201" s="405" t="n"/>
      <c r="F201" s="405" t="n"/>
      <c r="G201" s="320" t="n"/>
    </row>
    <row r="202">
      <c r="A202" s="405" t="n"/>
      <c r="B202" s="405" t="n"/>
      <c r="C202" s="405" t="n"/>
      <c r="D202" s="405" t="n"/>
      <c r="E202" s="405" t="n"/>
      <c r="F202" s="405" t="n"/>
      <c r="G202" s="320" t="n"/>
    </row>
    <row r="203">
      <c r="A203" s="405" t="n"/>
      <c r="B203" s="405" t="n"/>
      <c r="C203" s="405" t="n"/>
      <c r="D203" s="405" t="n"/>
      <c r="E203" s="405" t="n"/>
      <c r="F203" s="405" t="n"/>
      <c r="G203" s="320" t="n"/>
    </row>
    <row r="204">
      <c r="A204" s="405" t="n"/>
      <c r="B204" s="405" t="n"/>
      <c r="C204" s="405" t="n"/>
      <c r="D204" s="405" t="n"/>
      <c r="E204" s="405" t="n"/>
      <c r="F204" s="405" t="n"/>
      <c r="G204" s="320" t="n"/>
    </row>
    <row r="205">
      <c r="A205" s="405" t="n"/>
      <c r="B205" s="405" t="n"/>
      <c r="C205" s="405" t="n"/>
      <c r="D205" s="405" t="n"/>
      <c r="E205" s="405" t="n"/>
      <c r="F205" s="405" t="n"/>
      <c r="G205" s="320" t="n"/>
    </row>
    <row r="206">
      <c r="A206" s="405" t="n"/>
      <c r="B206" s="405" t="n"/>
      <c r="C206" s="405" t="n"/>
      <c r="D206" s="405" t="n"/>
      <c r="E206" s="405" t="n"/>
      <c r="F206" s="405" t="n"/>
      <c r="G206" s="320" t="n"/>
    </row>
    <row r="207">
      <c r="A207" s="405" t="n"/>
      <c r="B207" s="405" t="n"/>
      <c r="C207" s="405" t="n"/>
      <c r="D207" s="405" t="n"/>
      <c r="E207" s="405" t="n"/>
      <c r="F207" s="405" t="n"/>
      <c r="G207" s="320" t="n"/>
    </row>
    <row r="208">
      <c r="A208" s="405" t="n"/>
      <c r="B208" s="405" t="n"/>
      <c r="C208" s="405" t="n"/>
      <c r="D208" s="405" t="n"/>
      <c r="E208" s="405" t="n"/>
      <c r="F208" s="405" t="n"/>
      <c r="G208" s="320" t="n"/>
    </row>
    <row r="209">
      <c r="A209" s="405" t="n"/>
      <c r="B209" s="405" t="n"/>
      <c r="C209" s="405" t="n"/>
      <c r="D209" s="405" t="n"/>
      <c r="E209" s="405" t="n"/>
      <c r="F209" s="405" t="n"/>
      <c r="G209" s="320" t="n"/>
    </row>
    <row r="210">
      <c r="A210" s="405" t="n"/>
      <c r="B210" s="405" t="n"/>
      <c r="C210" s="405" t="n"/>
      <c r="D210" s="405" t="n"/>
      <c r="E210" s="405" t="n"/>
      <c r="F210" s="405" t="n"/>
      <c r="G210" s="320" t="n"/>
    </row>
    <row r="211">
      <c r="A211" s="405" t="n"/>
      <c r="B211" s="405" t="n"/>
      <c r="C211" s="405" t="n"/>
      <c r="D211" s="405" t="n"/>
      <c r="E211" s="405" t="n"/>
      <c r="F211" s="405" t="n"/>
      <c r="G211" s="320" t="n"/>
    </row>
    <row r="212">
      <c r="A212" s="405" t="n"/>
      <c r="B212" s="405" t="n"/>
      <c r="C212" s="405" t="n"/>
      <c r="D212" s="405" t="n"/>
      <c r="E212" s="405" t="n"/>
      <c r="F212" s="405" t="n"/>
      <c r="G212" s="320" t="n"/>
    </row>
    <row r="213">
      <c r="A213" s="405" t="n"/>
      <c r="B213" s="405" t="n"/>
      <c r="C213" s="405" t="n"/>
      <c r="D213" s="405" t="n"/>
      <c r="E213" s="405" t="n"/>
      <c r="F213" s="405" t="n"/>
      <c r="G213" s="320" t="n"/>
    </row>
    <row r="214">
      <c r="A214" s="405" t="n"/>
      <c r="B214" s="405" t="n"/>
      <c r="C214" s="405" t="n"/>
      <c r="D214" s="405" t="n"/>
      <c r="E214" s="405" t="n"/>
      <c r="F214" s="405" t="n"/>
      <c r="G214" s="320" t="n"/>
    </row>
    <row r="215">
      <c r="A215" s="405" t="n"/>
      <c r="B215" s="405" t="n"/>
      <c r="C215" s="405" t="n"/>
      <c r="D215" s="405" t="n"/>
      <c r="E215" s="405" t="n"/>
      <c r="F215" s="405" t="n"/>
      <c r="G215" s="320" t="n"/>
    </row>
    <row r="216">
      <c r="A216" s="405" t="n"/>
      <c r="B216" s="405" t="n"/>
      <c r="C216" s="405" t="n"/>
      <c r="D216" s="405" t="n"/>
      <c r="E216" s="405" t="n"/>
      <c r="F216" s="405" t="n"/>
      <c r="G216" s="320" t="n"/>
    </row>
    <row r="217">
      <c r="A217" s="405" t="n"/>
      <c r="B217" s="405" t="n"/>
      <c r="C217" s="405" t="n"/>
      <c r="D217" s="405" t="n"/>
      <c r="E217" s="405" t="n"/>
      <c r="F217" s="405" t="n"/>
      <c r="G217" s="320" t="n"/>
    </row>
    <row r="218">
      <c r="A218" s="405" t="n"/>
      <c r="B218" s="405" t="n"/>
      <c r="C218" s="405" t="n"/>
      <c r="D218" s="405" t="n"/>
      <c r="E218" s="405" t="n"/>
      <c r="F218" s="405" t="n"/>
      <c r="G218" s="320" t="n"/>
    </row>
    <row r="219">
      <c r="A219" s="405" t="n"/>
      <c r="B219" s="405" t="n"/>
      <c r="C219" s="405" t="n"/>
      <c r="D219" s="405" t="n"/>
      <c r="E219" s="405" t="n"/>
      <c r="F219" s="405" t="n"/>
      <c r="G219" s="320" t="n"/>
    </row>
    <row r="220">
      <c r="A220" s="405" t="n"/>
      <c r="B220" s="405" t="n"/>
      <c r="C220" s="405" t="n"/>
      <c r="D220" s="405" t="n"/>
      <c r="E220" s="405" t="n"/>
      <c r="F220" s="405" t="n"/>
      <c r="G220" s="320" t="n"/>
    </row>
    <row r="221">
      <c r="A221" s="405" t="n"/>
      <c r="B221" s="405" t="n"/>
      <c r="C221" s="405" t="n"/>
      <c r="D221" s="405" t="n"/>
      <c r="E221" s="405" t="n"/>
      <c r="F221" s="405" t="n"/>
      <c r="G221" s="320" t="n"/>
    </row>
    <row r="222">
      <c r="A222" s="405" t="n"/>
      <c r="B222" s="405" t="n"/>
      <c r="C222" s="405" t="n"/>
      <c r="D222" s="405" t="n"/>
      <c r="E222" s="405" t="n"/>
      <c r="F222" s="405" t="n"/>
      <c r="G222" s="320" t="n"/>
    </row>
    <row r="223">
      <c r="A223" s="405" t="n"/>
      <c r="B223" s="405" t="n"/>
      <c r="C223" s="405" t="n"/>
      <c r="D223" s="405" t="n"/>
      <c r="E223" s="405" t="n"/>
      <c r="F223" s="405" t="n"/>
      <c r="G223" s="320" t="n"/>
    </row>
    <row r="224">
      <c r="A224" s="405" t="n"/>
      <c r="B224" s="405" t="n"/>
      <c r="C224" s="405" t="n"/>
      <c r="D224" s="405" t="n"/>
      <c r="E224" s="405" t="n"/>
      <c r="F224" s="405" t="n"/>
      <c r="G224" s="320" t="n"/>
    </row>
    <row r="225">
      <c r="A225" s="405" t="n"/>
      <c r="B225" s="405" t="n"/>
      <c r="C225" s="405" t="n"/>
      <c r="D225" s="405" t="n"/>
      <c r="E225" s="405" t="n"/>
      <c r="F225" s="405" t="n"/>
      <c r="G225" s="320" t="n"/>
    </row>
    <row r="226">
      <c r="A226" s="405" t="n"/>
      <c r="B226" s="405" t="n"/>
      <c r="C226" s="405" t="n"/>
      <c r="D226" s="405" t="n"/>
      <c r="E226" s="405" t="n"/>
      <c r="F226" s="405" t="n"/>
      <c r="G226" s="320" t="n"/>
    </row>
    <row r="227">
      <c r="A227" s="405" t="n"/>
      <c r="B227" s="405" t="n"/>
      <c r="C227" s="405" t="n"/>
      <c r="D227" s="405" t="n"/>
      <c r="E227" s="405" t="n"/>
      <c r="F227" s="405" t="n"/>
      <c r="G227" s="320" t="n"/>
    </row>
    <row r="228">
      <c r="A228" s="405" t="n"/>
      <c r="B228" s="405" t="n"/>
      <c r="C228" s="405" t="n"/>
      <c r="D228" s="405" t="n"/>
      <c r="E228" s="405" t="n"/>
      <c r="F228" s="405" t="n"/>
      <c r="G228" s="320" t="n"/>
    </row>
    <row r="229">
      <c r="A229" s="405" t="n"/>
      <c r="B229" s="405" t="n"/>
      <c r="C229" s="405" t="n"/>
      <c r="D229" s="405" t="n"/>
      <c r="E229" s="405" t="n"/>
      <c r="F229" s="405" t="n"/>
      <c r="G229" s="320" t="n"/>
    </row>
    <row r="230">
      <c r="A230" s="405" t="n"/>
      <c r="B230" s="405" t="n"/>
      <c r="C230" s="405" t="n"/>
      <c r="D230" s="405" t="n"/>
      <c r="E230" s="405" t="n"/>
      <c r="F230" s="405" t="n"/>
      <c r="G230" s="320" t="n"/>
    </row>
    <row r="231">
      <c r="A231" s="405" t="n"/>
      <c r="B231" s="405" t="n"/>
      <c r="C231" s="405" t="n"/>
      <c r="D231" s="405" t="n"/>
      <c r="E231" s="405" t="n"/>
      <c r="F231" s="405" t="n"/>
      <c r="G231" s="320" t="n"/>
    </row>
    <row r="232">
      <c r="A232" s="405" t="n"/>
      <c r="B232" s="405" t="n"/>
      <c r="C232" s="405" t="n"/>
      <c r="D232" s="405" t="n"/>
      <c r="E232" s="405" t="n"/>
      <c r="F232" s="405" t="n"/>
      <c r="G232" s="320" t="n"/>
    </row>
    <row r="233">
      <c r="A233" s="405" t="n"/>
      <c r="B233" s="405" t="n"/>
      <c r="C233" s="405" t="n"/>
      <c r="D233" s="405" t="n"/>
      <c r="E233" s="405" t="n"/>
      <c r="F233" s="405" t="n"/>
      <c r="G233" s="320" t="n"/>
    </row>
    <row r="234">
      <c r="A234" s="405" t="n"/>
      <c r="B234" s="405" t="n"/>
      <c r="C234" s="405" t="n"/>
      <c r="D234" s="405" t="n"/>
      <c r="E234" s="405" t="n"/>
      <c r="F234" s="405" t="n"/>
      <c r="G234" s="320" t="n"/>
    </row>
    <row r="235">
      <c r="A235" s="405" t="n"/>
      <c r="B235" s="405" t="n"/>
      <c r="C235" s="405" t="n"/>
      <c r="D235" s="405" t="n"/>
      <c r="E235" s="405" t="n"/>
      <c r="F235" s="405" t="n"/>
      <c r="G235" s="320" t="n"/>
    </row>
    <row r="236">
      <c r="A236" s="405" t="n"/>
      <c r="B236" s="405" t="n"/>
      <c r="C236" s="405" t="n"/>
      <c r="D236" s="405" t="n"/>
      <c r="E236" s="405" t="n"/>
      <c r="F236" s="405" t="n"/>
      <c r="G236" s="320" t="n"/>
    </row>
    <row r="237">
      <c r="A237" s="405" t="n"/>
      <c r="B237" s="405" t="n"/>
      <c r="C237" s="405" t="n"/>
      <c r="D237" s="405" t="n"/>
      <c r="E237" s="405" t="n"/>
      <c r="F237" s="405" t="n"/>
      <c r="G237" s="320" t="n"/>
    </row>
    <row r="238">
      <c r="A238" s="405" t="n"/>
      <c r="B238" s="405" t="n"/>
      <c r="C238" s="405" t="n"/>
      <c r="D238" s="405" t="n"/>
      <c r="E238" s="405" t="n"/>
      <c r="F238" s="405" t="n"/>
      <c r="G238" s="320" t="n"/>
    </row>
    <row r="239">
      <c r="A239" s="405" t="n"/>
      <c r="B239" s="405" t="n"/>
      <c r="C239" s="405" t="n"/>
      <c r="D239" s="405" t="n"/>
      <c r="E239" s="405" t="n"/>
      <c r="F239" s="405" t="n"/>
      <c r="G239" s="320" t="n"/>
    </row>
    <row r="240">
      <c r="A240" s="405" t="n"/>
      <c r="B240" s="405" t="n"/>
      <c r="C240" s="405" t="n"/>
      <c r="D240" s="405" t="n"/>
      <c r="E240" s="405" t="n"/>
      <c r="F240" s="405" t="n"/>
      <c r="G240" s="320" t="n"/>
    </row>
    <row r="241">
      <c r="A241" s="405" t="n"/>
      <c r="B241" s="405" t="n"/>
      <c r="C241" s="405" t="n"/>
      <c r="D241" s="405" t="n"/>
      <c r="E241" s="405" t="n"/>
      <c r="F241" s="405" t="n"/>
      <c r="G241" s="320" t="n"/>
    </row>
    <row r="242">
      <c r="A242" s="405" t="n"/>
      <c r="B242" s="405" t="n"/>
      <c r="C242" s="405" t="n"/>
      <c r="D242" s="405" t="n"/>
      <c r="E242" s="405" t="n"/>
      <c r="F242" s="405" t="n"/>
      <c r="G242" s="320" t="n"/>
    </row>
    <row r="243">
      <c r="A243" s="405" t="n"/>
      <c r="B243" s="405" t="n"/>
      <c r="C243" s="405" t="n"/>
      <c r="D243" s="405" t="n"/>
      <c r="E243" s="405" t="n"/>
      <c r="F243" s="405" t="n"/>
      <c r="G243" s="320" t="n"/>
    </row>
    <row r="244">
      <c r="A244" s="405" t="n"/>
      <c r="B244" s="405" t="n"/>
      <c r="C244" s="405" t="n"/>
      <c r="D244" s="405" t="n"/>
      <c r="E244" s="405" t="n"/>
      <c r="F244" s="405" t="n"/>
      <c r="G244" s="320" t="n"/>
    </row>
    <row r="245">
      <c r="A245" s="405" t="n"/>
      <c r="B245" s="405" t="n"/>
      <c r="C245" s="405" t="n"/>
      <c r="D245" s="405" t="n"/>
      <c r="E245" s="405" t="n"/>
      <c r="F245" s="405" t="n"/>
      <c r="G245" s="320" t="n"/>
    </row>
    <row r="246">
      <c r="A246" s="405" t="n"/>
      <c r="B246" s="405" t="n"/>
      <c r="C246" s="405" t="n"/>
      <c r="D246" s="405" t="n"/>
      <c r="E246" s="405" t="n"/>
      <c r="F246" s="405" t="n"/>
      <c r="G246" s="320" t="n"/>
    </row>
    <row r="247">
      <c r="A247" s="405" t="n"/>
      <c r="B247" s="405" t="n"/>
      <c r="C247" s="405" t="n"/>
      <c r="D247" s="405" t="n"/>
      <c r="E247" s="405" t="n"/>
      <c r="F247" s="405" t="n"/>
      <c r="G247" s="320" t="n"/>
    </row>
    <row r="248">
      <c r="A248" s="405" t="n"/>
      <c r="B248" s="405" t="n"/>
      <c r="C248" s="405" t="n"/>
      <c r="D248" s="405" t="n"/>
      <c r="E248" s="405" t="n"/>
      <c r="F248" s="405" t="n"/>
      <c r="G248" s="320" t="n"/>
    </row>
    <row r="249">
      <c r="A249" s="405" t="n"/>
      <c r="B249" s="405" t="n"/>
      <c r="C249" s="405" t="n"/>
      <c r="D249" s="405" t="n"/>
      <c r="E249" s="405" t="n"/>
      <c r="F249" s="405" t="n"/>
      <c r="G249" s="320" t="n"/>
    </row>
    <row r="250">
      <c r="A250" s="405" t="n"/>
      <c r="B250" s="405" t="n"/>
      <c r="C250" s="405" t="n"/>
      <c r="D250" s="405" t="n"/>
      <c r="E250" s="405" t="n"/>
      <c r="F250" s="405" t="n"/>
      <c r="G250" s="320" t="n"/>
    </row>
    <row r="251">
      <c r="A251" s="405" t="n"/>
      <c r="B251" s="405" t="n"/>
      <c r="C251" s="405" t="n"/>
      <c r="D251" s="405" t="n"/>
      <c r="E251" s="405" t="n"/>
      <c r="F251" s="405" t="n"/>
      <c r="G251" s="320" t="n"/>
    </row>
    <row r="252">
      <c r="A252" s="405" t="n"/>
      <c r="B252" s="405" t="n"/>
      <c r="C252" s="405" t="n"/>
      <c r="D252" s="405" t="n"/>
      <c r="E252" s="405" t="n"/>
      <c r="F252" s="405" t="n"/>
      <c r="G252" s="320" t="n"/>
    </row>
    <row r="253">
      <c r="A253" s="405" t="n"/>
      <c r="B253" s="405" t="n"/>
      <c r="C253" s="405" t="n"/>
      <c r="D253" s="405" t="n"/>
      <c r="E253" s="405" t="n"/>
      <c r="F253" s="405" t="n"/>
      <c r="G253" s="320" t="n"/>
    </row>
    <row r="254">
      <c r="A254" s="405" t="n"/>
      <c r="B254" s="405" t="n"/>
      <c r="C254" s="405" t="n"/>
      <c r="D254" s="405" t="n"/>
      <c r="E254" s="405" t="n"/>
      <c r="F254" s="405" t="n"/>
      <c r="G254" s="320" t="n"/>
    </row>
    <row r="255">
      <c r="A255" s="405" t="n"/>
      <c r="B255" s="405" t="n"/>
      <c r="C255" s="405" t="n"/>
      <c r="D255" s="405" t="n"/>
      <c r="E255" s="405" t="n"/>
      <c r="F255" s="405" t="n"/>
      <c r="G255" s="320" t="n"/>
    </row>
    <row r="256">
      <c r="A256" s="405" t="n"/>
      <c r="B256" s="405" t="n"/>
      <c r="C256" s="405" t="n"/>
      <c r="D256" s="405" t="n"/>
      <c r="E256" s="405" t="n"/>
      <c r="F256" s="405" t="n"/>
      <c r="G256" s="320" t="n"/>
    </row>
    <row r="257">
      <c r="A257" s="405" t="n"/>
      <c r="B257" s="405" t="n"/>
      <c r="C257" s="405" t="n"/>
      <c r="D257" s="405" t="n"/>
      <c r="E257" s="405" t="n"/>
      <c r="F257" s="405" t="n"/>
      <c r="G257" s="320" t="n"/>
    </row>
    <row r="258">
      <c r="A258" s="405" t="n"/>
      <c r="B258" s="405" t="n"/>
      <c r="C258" s="405" t="n"/>
      <c r="D258" s="405" t="n"/>
      <c r="E258" s="405" t="n"/>
      <c r="F258" s="405" t="n"/>
      <c r="G258" s="320" t="n"/>
    </row>
    <row r="259">
      <c r="A259" s="405" t="n"/>
      <c r="B259" s="405" t="n"/>
      <c r="C259" s="405" t="n"/>
      <c r="D259" s="405" t="n"/>
      <c r="E259" s="405" t="n"/>
      <c r="F259" s="405" t="n"/>
      <c r="G259" s="320" t="n"/>
    </row>
    <row r="260">
      <c r="A260" s="405" t="n"/>
      <c r="B260" s="405" t="n"/>
      <c r="C260" s="405" t="n"/>
      <c r="D260" s="405" t="n"/>
      <c r="E260" s="405" t="n"/>
      <c r="F260" s="405" t="n"/>
      <c r="G260" s="320" t="n"/>
    </row>
    <row r="261">
      <c r="A261" s="405" t="n"/>
      <c r="B261" s="405" t="n"/>
      <c r="C261" s="405" t="n"/>
      <c r="D261" s="405" t="n"/>
      <c r="E261" s="405" t="n"/>
      <c r="F261" s="405" t="n"/>
      <c r="G261" s="320" t="n"/>
    </row>
    <row r="262">
      <c r="A262" s="405" t="n"/>
      <c r="B262" s="405" t="n"/>
      <c r="C262" s="405" t="n"/>
      <c r="D262" s="405" t="n"/>
      <c r="E262" s="405" t="n"/>
      <c r="F262" s="405" t="n"/>
      <c r="G262" s="320" t="n"/>
    </row>
    <row r="263">
      <c r="A263" s="405" t="n"/>
      <c r="B263" s="405" t="n"/>
      <c r="C263" s="405" t="n"/>
      <c r="D263" s="405" t="n"/>
      <c r="E263" s="405" t="n"/>
      <c r="F263" s="405" t="n"/>
      <c r="G263" s="320" t="n"/>
    </row>
    <row r="264">
      <c r="A264" s="405" t="n"/>
      <c r="B264" s="405" t="n"/>
      <c r="C264" s="405" t="n"/>
      <c r="D264" s="405" t="n"/>
      <c r="E264" s="405" t="n"/>
      <c r="F264" s="405" t="n"/>
      <c r="G264" s="320" t="n"/>
    </row>
    <row r="265">
      <c r="A265" s="405" t="n"/>
      <c r="B265" s="405" t="n"/>
      <c r="C265" s="405" t="n"/>
      <c r="D265" s="405" t="n"/>
      <c r="E265" s="405" t="n"/>
      <c r="F265" s="405" t="n"/>
      <c r="G265" s="320" t="n"/>
    </row>
    <row r="266">
      <c r="A266" s="405" t="n"/>
      <c r="B266" s="405" t="n"/>
      <c r="C266" s="405" t="n"/>
      <c r="D266" s="405" t="n"/>
      <c r="E266" s="405" t="n"/>
      <c r="F266" s="405" t="n"/>
      <c r="G266" s="320" t="n"/>
    </row>
    <row r="267">
      <c r="A267" s="405" t="n"/>
      <c r="B267" s="405" t="n"/>
      <c r="C267" s="405" t="n"/>
      <c r="D267" s="405" t="n"/>
      <c r="E267" s="405" t="n"/>
      <c r="F267" s="405" t="n"/>
      <c r="G267" s="320" t="n"/>
    </row>
    <row r="268">
      <c r="A268" s="405" t="n"/>
      <c r="B268" s="405" t="n"/>
      <c r="C268" s="405" t="n"/>
      <c r="D268" s="405" t="n"/>
      <c r="E268" s="405" t="n"/>
      <c r="F268" s="405" t="n"/>
      <c r="G268" s="320" t="n"/>
    </row>
    <row r="269">
      <c r="A269" s="405" t="n"/>
      <c r="B269" s="405" t="n"/>
      <c r="C269" s="405" t="n"/>
      <c r="D269" s="405" t="n"/>
      <c r="E269" s="405" t="n"/>
      <c r="F269" s="405" t="n"/>
      <c r="G269" s="320" t="n"/>
    </row>
    <row r="270">
      <c r="A270" s="405" t="n"/>
      <c r="B270" s="405" t="n"/>
      <c r="C270" s="405" t="n"/>
      <c r="D270" s="405" t="n"/>
      <c r="E270" s="405" t="n"/>
      <c r="F270" s="405" t="n"/>
      <c r="G270" s="320" t="n"/>
    </row>
    <row r="271">
      <c r="A271" s="405" t="n"/>
      <c r="B271" s="405" t="n"/>
      <c r="C271" s="405" t="n"/>
      <c r="D271" s="405" t="n"/>
      <c r="E271" s="405" t="n"/>
      <c r="F271" s="405" t="n"/>
      <c r="G271" s="320" t="n"/>
    </row>
    <row r="272">
      <c r="A272" s="405" t="n"/>
      <c r="B272" s="405" t="n"/>
      <c r="C272" s="405" t="n"/>
      <c r="D272" s="405" t="n"/>
      <c r="E272" s="405" t="n"/>
      <c r="F272" s="405" t="n"/>
      <c r="G272" s="320" t="n"/>
    </row>
    <row r="273">
      <c r="A273" s="405" t="n"/>
      <c r="B273" s="405" t="n"/>
      <c r="C273" s="405" t="n"/>
      <c r="D273" s="405" t="n"/>
      <c r="E273" s="405" t="n"/>
      <c r="F273" s="405" t="n"/>
      <c r="G273" s="320" t="n"/>
    </row>
    <row r="274">
      <c r="A274" s="405" t="n"/>
      <c r="B274" s="405" t="n"/>
      <c r="C274" s="405" t="n"/>
      <c r="D274" s="405" t="n"/>
      <c r="E274" s="405" t="n"/>
      <c r="F274" s="405" t="n"/>
      <c r="G274" s="320" t="n"/>
    </row>
    <row r="275">
      <c r="A275" s="405" t="n"/>
      <c r="B275" s="405" t="n"/>
      <c r="C275" s="405" t="n"/>
      <c r="D275" s="405" t="n"/>
      <c r="E275" s="405" t="n"/>
      <c r="F275" s="405" t="n"/>
      <c r="G275" s="320" t="n"/>
    </row>
    <row r="276">
      <c r="A276" s="405" t="n"/>
      <c r="B276" s="405" t="n"/>
      <c r="C276" s="405" t="n"/>
      <c r="D276" s="405" t="n"/>
      <c r="E276" s="405" t="n"/>
      <c r="F276" s="405" t="n"/>
      <c r="G276" s="320" t="n"/>
    </row>
    <row r="277">
      <c r="A277" s="405" t="n"/>
      <c r="B277" s="405" t="n"/>
      <c r="C277" s="405" t="n"/>
      <c r="D277" s="405" t="n"/>
      <c r="E277" s="405" t="n"/>
      <c r="F277" s="405" t="n"/>
      <c r="G277" s="320" t="n"/>
    </row>
    <row r="278">
      <c r="A278" s="405" t="n"/>
      <c r="B278" s="405" t="n"/>
      <c r="C278" s="405" t="n"/>
      <c r="D278" s="405" t="n"/>
      <c r="E278" s="405" t="n"/>
      <c r="F278" s="405" t="n"/>
      <c r="G278" s="320" t="n"/>
    </row>
    <row r="279">
      <c r="A279" s="405" t="n"/>
      <c r="B279" s="405" t="n"/>
      <c r="C279" s="405" t="n"/>
      <c r="D279" s="405" t="n"/>
      <c r="E279" s="405" t="n"/>
      <c r="F279" s="405" t="n"/>
      <c r="G279" s="320" t="n"/>
    </row>
    <row r="280">
      <c r="A280" s="405" t="n"/>
      <c r="B280" s="405" t="n"/>
      <c r="C280" s="405" t="n"/>
      <c r="D280" s="405" t="n"/>
      <c r="E280" s="405" t="n"/>
      <c r="F280" s="405" t="n"/>
      <c r="G280" s="320" t="n"/>
    </row>
    <row r="281">
      <c r="A281" s="405" t="n"/>
      <c r="B281" s="405" t="n"/>
      <c r="C281" s="405" t="n"/>
      <c r="D281" s="405" t="n"/>
      <c r="E281" s="405" t="n"/>
      <c r="F281" s="405" t="n"/>
      <c r="G281" s="320" t="n"/>
    </row>
    <row r="282">
      <c r="A282" s="405" t="n"/>
      <c r="B282" s="405" t="n"/>
      <c r="C282" s="405" t="n"/>
      <c r="D282" s="405" t="n"/>
      <c r="E282" s="405" t="n"/>
      <c r="F282" s="405" t="n"/>
      <c r="G282" s="320" t="n"/>
    </row>
    <row r="283">
      <c r="A283" s="405" t="n"/>
      <c r="B283" s="405" t="n"/>
      <c r="C283" s="405" t="n"/>
      <c r="D283" s="405" t="n"/>
      <c r="E283" s="405" t="n"/>
      <c r="F283" s="405" t="n"/>
      <c r="G283" s="320" t="n"/>
    </row>
  </sheetData>
  <mergeCells count="17">
    <mergeCell ref="A65:G65"/>
    <mergeCell ref="A9:A12"/>
    <mergeCell ref="B9:G12"/>
    <mergeCell ref="H9:H12"/>
    <mergeCell ref="I9:I12"/>
    <mergeCell ref="W9:AA9"/>
    <mergeCell ref="W10:AA10"/>
    <mergeCell ref="A3:AB3"/>
    <mergeCell ref="J8:M8"/>
    <mergeCell ref="N8:P8"/>
    <mergeCell ref="J9:M9"/>
    <mergeCell ref="N9:Q9"/>
    <mergeCell ref="AB9:AB12"/>
    <mergeCell ref="R9:V9"/>
    <mergeCell ref="R10:V10"/>
    <mergeCell ref="J10:M10"/>
    <mergeCell ref="N10:Q10"/>
  </mergeCells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53" t="inlineStr">
        <is>
          <t>AHSP Resmi (Updated ChatGPT-5)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53" t="inlineStr">
        <is>
          <t>TKDN &amp; Pajak (Updated ChatGPT-5)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53" t="inlineStr">
        <is>
          <t>Mobilisasi (Updated ChatGPT-5)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PBAS-A08-0237-2021</dc:creator>
  <dcterms:created xmlns:dcterms="http://purl.org/dc/terms/" xmlns:xsi="http://www.w3.org/2001/XMLSchema-instance" xsi:type="dcterms:W3CDTF">2021-03-15T06:14:26Z</dcterms:created>
  <dcterms:modified xmlns:dcterms="http://purl.org/dc/terms/" xmlns:xsi="http://www.w3.org/2001/XMLSchema-instance" xsi:type="dcterms:W3CDTF">2025-08-28T10:34:38Z</dcterms:modified>
  <cp:lastModifiedBy>X</cp:lastModifiedBy>
  <cp:lastPrinted>2025-03-24T08:24:26Z</cp:lastPrinted>
</cp:coreProperties>
</file>